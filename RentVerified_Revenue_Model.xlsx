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Assumptions" sheetId="1" state="visible" r:id="rId3"/>
    <sheet name="Projections" sheetId="2" state="visible" r:id="rId4"/>
    <sheet name="Summary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<sst xmlns="http://schemas.openxmlformats.org/spreadsheetml/2006/main" count="151" uniqueCount="147">
  <si>
    <t xml:space="preserve">RentVerified — Revenue Model Assumptions</t>
  </si>
  <si>
    <t xml:space="preserve">Blue cells = inputs you can change  |  All commissions are per-event unless marked recurring</t>
  </si>
  <si>
    <t xml:space="preserve">LAYER 1 — VERIFICATION  (triggered every application)</t>
  </si>
  <si>
    <t xml:space="preserve">TransUnion commission per applicant</t>
  </si>
  <si>
    <t xml:space="preserve">Source: TransUnion SmartMove Partner Program</t>
  </si>
  <si>
    <t xml:space="preserve">Tenant screening fee charged (Stripe)</t>
  </si>
  <si>
    <t xml:space="preserve">Tenant pays RentVerified; RentVerified pays TransUnion wholesale</t>
  </si>
  <si>
    <t xml:space="preserve">TransUnion wholesale cost per report</t>
  </si>
  <si>
    <t xml:space="preserve">Estimated partner rate — confirm with TransUnion</t>
  </si>
  <si>
    <t xml:space="preserve">Legal forms commission (NOLO/Rocket Lawyer)</t>
  </si>
  <si>
    <t xml:space="preserve">Per landlord who purchases custom doc or legal consult</t>
  </si>
  <si>
    <t xml:space="preserve">Legal forms attach rate</t>
  </si>
  <si>
    <t xml:space="preserve">% of landlords who buy legal docs</t>
  </si>
  <si>
    <t xml:space="preserve">LAYER 2 — FINTECH  (triggered at lease signing)</t>
  </si>
  <si>
    <t xml:space="preserve">Deposit bond commission (LeaseLock/Obligo)</t>
  </si>
  <si>
    <t xml:space="preserve">Flat fee per bond issued</t>
  </si>
  <si>
    <t xml:space="preserve">Rent guarantee insurance commission</t>
  </si>
  <si>
    <t xml:space="preserve">Mid of $150–$200; ~15% of annual premium</t>
  </si>
  <si>
    <t xml:space="preserve">Rent guarantee attach rate</t>
  </si>
  <si>
    <t xml:space="preserve">% of leases where landlord opts in</t>
  </si>
  <si>
    <t xml:space="preserve">Credit builder monthly (Boom)</t>
  </si>
  <si>
    <t xml:space="preserve">Recurring per active tenant/month — mid of $1–$2</t>
  </si>
  <si>
    <t xml:space="preserve">Renters insurance monthly commission</t>
  </si>
  <si>
    <t xml:space="preserve">Recurring per policy/month — mid of $2–$5</t>
  </si>
  <si>
    <t xml:space="preserve">Renters insurance attach rate</t>
  </si>
  <si>
    <t xml:space="preserve">% of tenants who sign up for renters insurance</t>
  </si>
  <si>
    <t xml:space="preserve">LAYER 3 — LIFESTYLE  (triggered at move-in)</t>
  </si>
  <si>
    <t xml:space="preserve">Internet/Cable setup commission (AT&amp;T, Xfinity)</t>
  </si>
  <si>
    <t xml:space="preserve">Mid of $50–$150 per new installation</t>
  </si>
  <si>
    <t xml:space="preserve">Internet attach rate</t>
  </si>
  <si>
    <t xml:space="preserve">% of new tenants who set up through RentVerified</t>
  </si>
  <si>
    <t xml:space="preserve">Utility concierge commission</t>
  </si>
  <si>
    <t xml:space="preserve">Per tenant who uses white-glove utility transfer</t>
  </si>
  <si>
    <t xml:space="preserve">Utility concierge attach rate</t>
  </si>
  <si>
    <t xml:space="preserve">% of new tenants who use service</t>
  </si>
  <si>
    <t xml:space="preserve">Moving services referral fee</t>
  </si>
  <si>
    <t xml:space="preserve">Flat fee per booked referral</t>
  </si>
  <si>
    <t xml:space="preserve">Moving services attach rate</t>
  </si>
  <si>
    <t xml:space="preserve">% of new tenants who book movers through RentVerified</t>
  </si>
  <si>
    <t xml:space="preserve">Smart home hardware commission rate</t>
  </si>
  <si>
    <t xml:space="preserve">7.5% mid of 5–10% via Amazon Associates</t>
  </si>
  <si>
    <t xml:space="preserve">Avg smart home order value</t>
  </si>
  <si>
    <t xml:space="preserve">Locks, cameras, etc.</t>
  </si>
  <si>
    <t xml:space="preserve">SUBSCRIPTION (landlord/PM monthly)</t>
  </si>
  <si>
    <t xml:space="preserve">Starter plan price/month</t>
  </si>
  <si>
    <t xml:space="preserve">Up to 2 listings</t>
  </si>
  <si>
    <t xml:space="preserve">Pro Monthly plan price/month</t>
  </si>
  <si>
    <t xml:space="preserve">Unlimited listings + full platform</t>
  </si>
  <si>
    <t xml:space="preserve">Pro Annual plan effective price/month</t>
  </si>
  <si>
    <t xml:space="preserve">Billed $708/yr</t>
  </si>
  <si>
    <t xml:space="preserve">% of subscribers on Starter</t>
  </si>
  <si>
    <t xml:space="preserve">Assumed mix</t>
  </si>
  <si>
    <t xml:space="preserve">% of subscribers on Pro Monthly</t>
  </si>
  <si>
    <t xml:space="preserve">% of subscribers on Pro Annual</t>
  </si>
  <si>
    <t xml:space="preserve">GROWTH ASSUMPTIONS</t>
  </si>
  <si>
    <t xml:space="preserve">Starting landlord subscribers (Month 1)</t>
  </si>
  <si>
    <t xml:space="preserve">Sanders PM + early adopters</t>
  </si>
  <si>
    <t xml:space="preserve">Monthly new landlord subscriber growth</t>
  </si>
  <si>
    <t xml:space="preserve">15% MoM new sub growth (aggressive Utah push)</t>
  </si>
  <si>
    <t xml:space="preserve">Avg applications per listing per month</t>
  </si>
  <si>
    <t xml:space="preserve">Across all active listings</t>
  </si>
  <si>
    <t xml:space="preserve">Avg active listings per landlord</t>
  </si>
  <si>
    <t xml:space="preserve">Across starter + pro subs</t>
  </si>
  <si>
    <t xml:space="preserve">New tenants moved in per month (% of apps)</t>
  </si>
  <si>
    <t xml:space="preserve">30% of applicants sign a lease</t>
  </si>
  <si>
    <t xml:space="preserve">Avg active tenant lease months</t>
  </si>
  <si>
    <t xml:space="preserve">Months recurring commissions flow per tenant</t>
  </si>
  <si>
    <t xml:space="preserve">All assumption cells are referenced by named row in the Projections sheet. Change values above to run scenarios.</t>
  </si>
  <si>
    <t xml:space="preserve">RentVerified — 12-Month Revenue Projections</t>
  </si>
  <si>
    <t xml:space="preserve">All formulas reference Assumptions sheet  |  Black = formula  |  Blue = hardcoded input</t>
  </si>
  <si>
    <t xml:space="preserve">Metric</t>
  </si>
  <si>
    <t xml:space="preserve">Mo 1</t>
  </si>
  <si>
    <t xml:space="preserve">Mo 2</t>
  </si>
  <si>
    <t xml:space="preserve">Mo 3</t>
  </si>
  <si>
    <t xml:space="preserve">Mo 4</t>
  </si>
  <si>
    <t xml:space="preserve">Mo 5</t>
  </si>
  <si>
    <t xml:space="preserve">Mo 6</t>
  </si>
  <si>
    <t xml:space="preserve">Mo 7</t>
  </si>
  <si>
    <t xml:space="preserve">Mo 8</t>
  </si>
  <si>
    <t xml:space="preserve">Mo 9</t>
  </si>
  <si>
    <t xml:space="preserve">Mo 10</t>
  </si>
  <si>
    <t xml:space="preserve">Mo 11</t>
  </si>
  <si>
    <t xml:space="preserve">Mo 12</t>
  </si>
  <si>
    <t xml:space="preserve">Full Year</t>
  </si>
  <si>
    <t xml:space="preserve">── VOLUME DRIVERS</t>
  </si>
  <si>
    <t xml:space="preserve">  Landlord subscribers</t>
  </si>
  <si>
    <t xml:space="preserve">  Active listings</t>
  </si>
  <si>
    <t xml:space="preserve">  Applications received</t>
  </si>
  <si>
    <t xml:space="preserve">  New tenants moved in</t>
  </si>
  <si>
    <t xml:space="preserve">  Cumulative active tenants</t>
  </si>
  <si>
    <t xml:space="preserve">LAYER 1 — VERIFICATION REVENUE</t>
  </si>
  <si>
    <t xml:space="preserve">  TransUnion commission ($12/app)</t>
  </si>
  <si>
    <t xml:space="preserve">  Screening fee spread ($45 - $30 wholesale)</t>
  </si>
  <si>
    <t xml:space="preserve">  Legal forms (NOLO/Rocket Lawyer)</t>
  </si>
  <si>
    <t xml:space="preserve">LAYER 1 TOTAL</t>
  </si>
  <si>
    <t xml:space="preserve">LAYER 2 — FINTECH REVENUE</t>
  </si>
  <si>
    <t xml:space="preserve">  Deposit bonds (LeaseLock/Obligo)</t>
  </si>
  <si>
    <t xml:space="preserve">  Rent guarantee insurance</t>
  </si>
  <si>
    <t xml:space="preserve">  Credit builder recurring (Boom)</t>
  </si>
  <si>
    <t xml:space="preserve">  Renters insurance recurring</t>
  </si>
  <si>
    <t xml:space="preserve">LAYER 2 TOTAL</t>
  </si>
  <si>
    <t xml:space="preserve">LAYER 3 — LIFESTYLE REVENUE</t>
  </si>
  <si>
    <t xml:space="preserve">  Internet/Cable setup</t>
  </si>
  <si>
    <t xml:space="preserve">  Utility concierge</t>
  </si>
  <si>
    <t xml:space="preserve">  Moving services</t>
  </si>
  <si>
    <t xml:space="preserve">  Smart home hardware</t>
  </si>
  <si>
    <t xml:space="preserve">LAYER 3 TOTAL</t>
  </si>
  <si>
    <t xml:space="preserve">SUBSCRIPTION REVENUE</t>
  </si>
  <si>
    <t xml:space="preserve">  Starter subscribers</t>
  </si>
  <si>
    <t xml:space="preserve">  Pro Monthly subscribers</t>
  </si>
  <si>
    <t xml:space="preserve">  Pro Annual subscribers</t>
  </si>
  <si>
    <t xml:space="preserve">  Subscription revenue</t>
  </si>
  <si>
    <t xml:space="preserve">SUBSCRIPTION TOTAL</t>
  </si>
  <si>
    <t xml:space="preserve">▶  TOTAL MONTHLY REVENUE</t>
  </si>
  <si>
    <t xml:space="preserve">  MoM Revenue Growth</t>
  </si>
  <si>
    <t xml:space="preserve">—</t>
  </si>
  <si>
    <t xml:space="preserve">RentVerified — Full Year Revenue Mix</t>
  </si>
  <si>
    <t xml:space="preserve">Revenue Stream</t>
  </si>
  <si>
    <t xml:space="preserve">Full Year ($)</t>
  </si>
  <si>
    <t xml:space="preserve">% of Total</t>
  </si>
  <si>
    <t xml:space="preserve">Affiliate / Partner</t>
  </si>
  <si>
    <t xml:space="preserve">TransUnion commission</t>
  </si>
  <si>
    <t xml:space="preserve">TransUnion SmartMove</t>
  </si>
  <si>
    <t xml:space="preserve">Screening fee spread</t>
  </si>
  <si>
    <t xml:space="preserve">Legal forms</t>
  </si>
  <si>
    <t xml:space="preserve">NOLO / Rocket Lawyer</t>
  </si>
  <si>
    <t xml:space="preserve">Deposit bonds</t>
  </si>
  <si>
    <t xml:space="preserve">LeaseLock / Obligo</t>
  </si>
  <si>
    <t xml:space="preserve">Rent guarantee insurance</t>
  </si>
  <si>
    <t xml:space="preserve">Partner insurer</t>
  </si>
  <si>
    <t xml:space="preserve">Credit builder (recurring)</t>
  </si>
  <si>
    <t xml:space="preserve">Boom</t>
  </si>
  <si>
    <t xml:space="preserve">Renters insurance (recurring)</t>
  </si>
  <si>
    <t xml:space="preserve">Lemonade / partner</t>
  </si>
  <si>
    <t xml:space="preserve">Internet/Cable setup</t>
  </si>
  <si>
    <t xml:space="preserve">AT&amp;T, Xfinity</t>
  </si>
  <si>
    <t xml:space="preserve">Utility concierge</t>
  </si>
  <si>
    <t xml:space="preserve">Utility concierge partner</t>
  </si>
  <si>
    <t xml:space="preserve">Moving services</t>
  </si>
  <si>
    <t xml:space="preserve">Moving co. referral</t>
  </si>
  <si>
    <t xml:space="preserve">Smart home hardware</t>
  </si>
  <si>
    <t xml:space="preserve">Amazon Associates</t>
  </si>
  <si>
    <t xml:space="preserve">Subscription revenue</t>
  </si>
  <si>
    <t xml:space="preserve">Direct (Stripe)</t>
  </si>
  <si>
    <t xml:space="preserve">TOTAL ANNUAL REVENUE</t>
  </si>
  <si>
    <t xml:space="preserve">100.0%</t>
  </si>
  <si>
    <t xml:space="preserve">Note: Recurring revenue streams (credit builder, renters insurance) grow each month as cumulative active tenants increase. Projections assume 15% MoM landlord subscriber growth starting from 5 subscribers.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</si>
</sst>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\$#,##0.00"/>
    <numFmt numFmtId="166" formatCode="0.0%"/>
    <numFmt numFmtId="167" formatCode="#,##0;\(#,##0\);\-"/>
    <numFmt numFmtId="168" formatCode="\$#,##0;&quot;($&quot;#,##0\);\-"/>
    <numFmt numFmtId="169" formatCode="0.0%;\(0.0%\);\-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9"/>
      <color rgb="FF64748B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1E293B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i val="true"/>
      <sz val="9"/>
      <color rgb="FF334155"/>
      <name val="Arial"/>
      <family val="0"/>
      <charset val="1"/>
    </font>
    <font>
      <i val="true"/>
      <sz val="9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0F172A"/>
        <bgColor rgb="FF1E293B"/>
      </patternFill>
    </fill>
    <fill>
      <patternFill patternType="solid">
        <fgColor rgb="FF1A56DB"/>
        <bgColor rgb="FF3366FF"/>
      </patternFill>
    </fill>
    <fill>
      <patternFill patternType="solid">
        <fgColor rgb="FFF8FAFC"/>
        <bgColor rgb="FFFFFFFF"/>
      </patternFill>
    </fill>
    <fill>
      <patternFill patternType="solid">
        <fgColor rgb="FFEFF6FF"/>
        <bgColor rgb="FFF1F5F9"/>
      </patternFill>
    </fill>
    <fill>
      <patternFill patternType="solid">
        <fgColor rgb="FFF1F5F9"/>
        <bgColor rgb="FFEFF6FF"/>
      </patternFill>
    </fill>
    <fill>
      <patternFill patternType="solid">
        <fgColor rgb="FFE2E8F0"/>
        <bgColor rgb="FFF1F5F9"/>
      </patternFill>
    </fill>
    <fill>
      <patternFill patternType="solid">
        <fgColor rgb="FFFFFFFF"/>
        <bgColor rgb="FFF8FAFC"/>
      </patternFill>
    </fill>
    <fill>
      <patternFill patternType="solid">
        <fgColor rgb="FFF0FDF4"/>
        <bgColor rgb="FFF8FAFC"/>
      </patternFill>
    </fill>
    <fill>
      <patternFill patternType="solid">
        <fgColor rgb="FF16A34A"/>
        <bgColor rgb="FF008080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 diagonalUp="false" diagonalDown="false">
      <left style="thin">
        <color rgb="FFE2E8F0"/>
      </left>
      <right style="thin">
        <color rgb="FFE2E8F0"/>
      </right>
      <top style="medium"/>
      <bottom style="medium"/>
      <diagonal/>
    </border>
    <border diagonalUp="false" diagonalDown="false">
      <left style="medium"/>
      <right style="medium"/>
      <top style="medium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5" fontId="8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8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6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6" borderId="0" xfId="0" applyFont="true" applyBorder="false" applyAlignment="true" applyProtection="false">
      <alignment horizontal="left" vertical="center" textRotation="0" wrapText="true" indent="2" shrinkToFit="false"/>
      <protection locked="true" hidden="false"/>
    </xf>
    <xf numFmtId="167" fontId="10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1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8" borderId="0" xfId="0" applyFont="true" applyBorder="false" applyAlignment="true" applyProtection="false">
      <alignment horizontal="left" vertical="center" textRotation="0" wrapText="true" indent="2" shrinkToFit="false"/>
      <protection locked="true" hidden="false"/>
    </xf>
    <xf numFmtId="168" fontId="12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1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9" borderId="0" xfId="0" applyFont="true" applyBorder="false" applyAlignment="true" applyProtection="false">
      <alignment horizontal="left" vertical="center" textRotation="0" wrapText="true" indent="1" shrinkToFit="false"/>
      <protection locked="true" hidden="false"/>
    </xf>
    <xf numFmtId="168" fontId="11" fillId="9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1" fillId="9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2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10" borderId="0" xfId="0" applyFont="true" applyBorder="false" applyAlignment="true" applyProtection="false">
      <alignment horizontal="left" vertical="center" textRotation="0" wrapText="true" indent="1" shrinkToFit="false"/>
      <protection locked="true" hidden="false"/>
    </xf>
    <xf numFmtId="168" fontId="13" fillId="1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3" fillId="10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5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5" fillId="7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4" fillId="8" borderId="1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9" fontId="12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8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4" fillId="4" borderId="1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8" fontId="12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2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3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3" fillId="1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13" fillId="1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0" fillId="1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0FDF4"/>
      <rgbColor rgb="FFEFF6FF"/>
      <rgbColor rgb="FF660066"/>
      <rgbColor rgb="FFFF8080"/>
      <rgbColor rgb="FF1A56DB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1F5F9"/>
      <rgbColor rgb="FFE2E8F0"/>
      <rgbColor rgb="FFF8FAFC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4748B"/>
      <rgbColor rgb="FF969696"/>
      <rgbColor rgb="FF003366"/>
      <rgbColor rgb="FF16A34A"/>
      <rgbColor rgb="FF0F172A"/>
      <rgbColor rgb="FF333300"/>
      <rgbColor rgb="FF993300"/>
      <rgbColor rgb="FF993366"/>
      <rgbColor rgb="FF334155"/>
      <rgbColor rgb="FF1E293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18"/>
    <col collapsed="false" customWidth="true" hidden="false" outlineLevel="0" max="3" min="3" style="0" width="36"/>
  </cols>
  <sheetData>
    <row r="1" customFormat="false" ht="31.5" hidden="false" customHeight="true" outlineLevel="0" collapsed="false">
      <c r="A1" s="1" t="s">
        <v>0</v>
      </c>
      <c r="B1" s="1"/>
      <c r="C1" s="1"/>
    </row>
    <row r="2" customFormat="false" ht="18" hidden="false" customHeight="true" outlineLevel="0" collapsed="false">
      <c r="A2" s="2" t="s">
        <v>1</v>
      </c>
      <c r="B2" s="2"/>
      <c r="C2" s="2"/>
    </row>
    <row r="4" customFormat="false" ht="19.5" hidden="false" customHeight="true" outlineLevel="0" collapsed="false">
      <c r="A4" s="3" t="s">
        <v>2</v>
      </c>
      <c r="B4" s="3"/>
      <c r="C4" s="3"/>
    </row>
    <row r="5" customFormat="false" ht="18" hidden="false" customHeight="true" outlineLevel="0" collapsed="false">
      <c r="A5" s="4" t="s">
        <v>3</v>
      </c>
      <c r="B5" s="5" t="n">
        <v>12</v>
      </c>
      <c r="C5" s="6" t="s">
        <v>4</v>
      </c>
    </row>
    <row r="6" customFormat="false" ht="18" hidden="false" customHeight="true" outlineLevel="0" collapsed="false">
      <c r="A6" s="4" t="s">
        <v>5</v>
      </c>
      <c r="B6" s="5" t="n">
        <v>45</v>
      </c>
      <c r="C6" s="6" t="s">
        <v>6</v>
      </c>
    </row>
    <row r="7" customFormat="false" ht="18" hidden="false" customHeight="true" outlineLevel="0" collapsed="false">
      <c r="A7" s="4" t="s">
        <v>7</v>
      </c>
      <c r="B7" s="5" t="n">
        <v>30</v>
      </c>
      <c r="C7" s="6" t="s">
        <v>8</v>
      </c>
    </row>
    <row r="8" customFormat="false" ht="18" hidden="false" customHeight="true" outlineLevel="0" collapsed="false">
      <c r="A8" s="4" t="s">
        <v>9</v>
      </c>
      <c r="B8" s="5" t="n">
        <v>20</v>
      </c>
      <c r="C8" s="6" t="s">
        <v>10</v>
      </c>
    </row>
    <row r="9" customFormat="false" ht="18" hidden="false" customHeight="true" outlineLevel="0" collapsed="false">
      <c r="A9" s="4" t="s">
        <v>11</v>
      </c>
      <c r="B9" s="7" t="n">
        <v>0.15</v>
      </c>
      <c r="C9" s="6" t="s">
        <v>12</v>
      </c>
    </row>
    <row r="11" customFormat="false" ht="19.5" hidden="false" customHeight="true" outlineLevel="0" collapsed="false">
      <c r="A11" s="3" t="s">
        <v>13</v>
      </c>
      <c r="B11" s="3"/>
      <c r="C11" s="3"/>
    </row>
    <row r="12" customFormat="false" ht="18" hidden="false" customHeight="true" outlineLevel="0" collapsed="false">
      <c r="A12" s="4" t="s">
        <v>14</v>
      </c>
      <c r="B12" s="5" t="n">
        <v>25</v>
      </c>
      <c r="C12" s="6" t="s">
        <v>15</v>
      </c>
    </row>
    <row r="13" customFormat="false" ht="18" hidden="false" customHeight="true" outlineLevel="0" collapsed="false">
      <c r="A13" s="4" t="s">
        <v>16</v>
      </c>
      <c r="B13" s="5" t="n">
        <v>175</v>
      </c>
      <c r="C13" s="6" t="s">
        <v>17</v>
      </c>
    </row>
    <row r="14" customFormat="false" ht="18" hidden="false" customHeight="true" outlineLevel="0" collapsed="false">
      <c r="A14" s="4" t="s">
        <v>18</v>
      </c>
      <c r="B14" s="7" t="n">
        <v>0.2</v>
      </c>
      <c r="C14" s="6" t="s">
        <v>19</v>
      </c>
    </row>
    <row r="15" customFormat="false" ht="18" hidden="false" customHeight="true" outlineLevel="0" collapsed="false">
      <c r="A15" s="4" t="s">
        <v>20</v>
      </c>
      <c r="B15" s="5" t="n">
        <v>1.5</v>
      </c>
      <c r="C15" s="6" t="s">
        <v>21</v>
      </c>
    </row>
    <row r="16" customFormat="false" ht="18" hidden="false" customHeight="true" outlineLevel="0" collapsed="false">
      <c r="A16" s="4" t="s">
        <v>22</v>
      </c>
      <c r="B16" s="5" t="n">
        <v>3.5</v>
      </c>
      <c r="C16" s="6" t="s">
        <v>23</v>
      </c>
    </row>
    <row r="17" customFormat="false" ht="18" hidden="false" customHeight="true" outlineLevel="0" collapsed="false">
      <c r="A17" s="4" t="s">
        <v>24</v>
      </c>
      <c r="B17" s="7" t="n">
        <v>0.6</v>
      </c>
      <c r="C17" s="6" t="s">
        <v>25</v>
      </c>
    </row>
    <row r="19" customFormat="false" ht="19.5" hidden="false" customHeight="true" outlineLevel="0" collapsed="false">
      <c r="A19" s="3" t="s">
        <v>26</v>
      </c>
      <c r="B19" s="3"/>
      <c r="C19" s="3"/>
    </row>
    <row r="20" customFormat="false" ht="18" hidden="false" customHeight="true" outlineLevel="0" collapsed="false">
      <c r="A20" s="4" t="s">
        <v>27</v>
      </c>
      <c r="B20" s="5" t="n">
        <v>100</v>
      </c>
      <c r="C20" s="6" t="s">
        <v>28</v>
      </c>
    </row>
    <row r="21" customFormat="false" ht="18" hidden="false" customHeight="true" outlineLevel="0" collapsed="false">
      <c r="A21" s="4" t="s">
        <v>29</v>
      </c>
      <c r="B21" s="7" t="n">
        <v>0.5</v>
      </c>
      <c r="C21" s="6" t="s">
        <v>30</v>
      </c>
    </row>
    <row r="22" customFormat="false" ht="18" hidden="false" customHeight="true" outlineLevel="0" collapsed="false">
      <c r="A22" s="4" t="s">
        <v>31</v>
      </c>
      <c r="B22" s="5" t="n">
        <v>75</v>
      </c>
      <c r="C22" s="6" t="s">
        <v>32</v>
      </c>
    </row>
    <row r="23" customFormat="false" ht="18" hidden="false" customHeight="true" outlineLevel="0" collapsed="false">
      <c r="A23" s="4" t="s">
        <v>33</v>
      </c>
      <c r="B23" s="7" t="n">
        <v>0.3</v>
      </c>
      <c r="C23" s="6" t="s">
        <v>34</v>
      </c>
    </row>
    <row r="24" customFormat="false" ht="18" hidden="false" customHeight="true" outlineLevel="0" collapsed="false">
      <c r="A24" s="4" t="s">
        <v>35</v>
      </c>
      <c r="B24" s="5" t="n">
        <v>50</v>
      </c>
      <c r="C24" s="6" t="s">
        <v>36</v>
      </c>
    </row>
    <row r="25" customFormat="false" ht="18" hidden="false" customHeight="true" outlineLevel="0" collapsed="false">
      <c r="A25" s="4" t="s">
        <v>37</v>
      </c>
      <c r="B25" s="7" t="n">
        <v>0.25</v>
      </c>
      <c r="C25" s="6" t="s">
        <v>38</v>
      </c>
    </row>
    <row r="26" customFormat="false" ht="18" hidden="false" customHeight="true" outlineLevel="0" collapsed="false">
      <c r="A26" s="4" t="s">
        <v>39</v>
      </c>
      <c r="B26" s="7" t="n">
        <v>0.075</v>
      </c>
      <c r="C26" s="6" t="s">
        <v>40</v>
      </c>
    </row>
    <row r="27" customFormat="false" ht="18" hidden="false" customHeight="true" outlineLevel="0" collapsed="false">
      <c r="A27" s="4" t="s">
        <v>41</v>
      </c>
      <c r="B27" s="5" t="n">
        <v>150</v>
      </c>
      <c r="C27" s="6" t="s">
        <v>42</v>
      </c>
    </row>
    <row r="29" customFormat="false" ht="19.5" hidden="false" customHeight="true" outlineLevel="0" collapsed="false">
      <c r="A29" s="3" t="s">
        <v>43</v>
      </c>
      <c r="B29" s="3"/>
      <c r="C29" s="3"/>
    </row>
    <row r="30" customFormat="false" ht="18" hidden="false" customHeight="true" outlineLevel="0" collapsed="false">
      <c r="A30" s="4" t="s">
        <v>44</v>
      </c>
      <c r="B30" s="5" t="n">
        <v>29</v>
      </c>
      <c r="C30" s="6" t="s">
        <v>45</v>
      </c>
    </row>
    <row r="31" customFormat="false" ht="18" hidden="false" customHeight="true" outlineLevel="0" collapsed="false">
      <c r="A31" s="4" t="s">
        <v>46</v>
      </c>
      <c r="B31" s="5" t="n">
        <v>79</v>
      </c>
      <c r="C31" s="6" t="s">
        <v>47</v>
      </c>
    </row>
    <row r="32" customFormat="false" ht="18" hidden="false" customHeight="true" outlineLevel="0" collapsed="false">
      <c r="A32" s="4" t="s">
        <v>48</v>
      </c>
      <c r="B32" s="5" t="n">
        <v>59</v>
      </c>
      <c r="C32" s="6" t="s">
        <v>49</v>
      </c>
    </row>
    <row r="33" customFormat="false" ht="18" hidden="false" customHeight="true" outlineLevel="0" collapsed="false">
      <c r="A33" s="4" t="s">
        <v>50</v>
      </c>
      <c r="B33" s="7" t="n">
        <v>0.4</v>
      </c>
      <c r="C33" s="6" t="s">
        <v>51</v>
      </c>
    </row>
    <row r="34" customFormat="false" ht="18" hidden="false" customHeight="true" outlineLevel="0" collapsed="false">
      <c r="A34" s="4" t="s">
        <v>52</v>
      </c>
      <c r="B34" s="7" t="n">
        <v>0.35</v>
      </c>
      <c r="C34" s="6" t="s">
        <v>51</v>
      </c>
    </row>
    <row r="35" customFormat="false" ht="18" hidden="false" customHeight="true" outlineLevel="0" collapsed="false">
      <c r="A35" s="4" t="s">
        <v>53</v>
      </c>
      <c r="B35" s="7" t="n">
        <v>0.25</v>
      </c>
      <c r="C35" s="6" t="s">
        <v>51</v>
      </c>
    </row>
    <row r="37" customFormat="false" ht="19.5" hidden="false" customHeight="true" outlineLevel="0" collapsed="false">
      <c r="A37" s="3" t="s">
        <v>54</v>
      </c>
      <c r="B37" s="3"/>
      <c r="C37" s="3"/>
    </row>
    <row r="38" customFormat="false" ht="18" hidden="false" customHeight="true" outlineLevel="0" collapsed="false">
      <c r="A38" s="4" t="s">
        <v>55</v>
      </c>
      <c r="B38" s="5" t="n">
        <v>5</v>
      </c>
      <c r="C38" s="6" t="s">
        <v>56</v>
      </c>
    </row>
    <row r="39" customFormat="false" ht="18" hidden="false" customHeight="true" outlineLevel="0" collapsed="false">
      <c r="A39" s="4" t="s">
        <v>57</v>
      </c>
      <c r="B39" s="7" t="n">
        <v>0.15</v>
      </c>
      <c r="C39" s="6" t="s">
        <v>58</v>
      </c>
    </row>
    <row r="40" customFormat="false" ht="18" hidden="false" customHeight="true" outlineLevel="0" collapsed="false">
      <c r="A40" s="4" t="s">
        <v>59</v>
      </c>
      <c r="B40" s="5" t="n">
        <v>3</v>
      </c>
      <c r="C40" s="6" t="s">
        <v>60</v>
      </c>
    </row>
    <row r="41" customFormat="false" ht="18" hidden="false" customHeight="true" outlineLevel="0" collapsed="false">
      <c r="A41" s="4" t="s">
        <v>61</v>
      </c>
      <c r="B41" s="5" t="n">
        <v>2.5</v>
      </c>
      <c r="C41" s="6" t="s">
        <v>62</v>
      </c>
    </row>
    <row r="42" customFormat="false" ht="18" hidden="false" customHeight="true" outlineLevel="0" collapsed="false">
      <c r="A42" s="4" t="s">
        <v>63</v>
      </c>
      <c r="B42" s="7" t="n">
        <v>0.3</v>
      </c>
      <c r="C42" s="6" t="s">
        <v>64</v>
      </c>
    </row>
    <row r="43" customFormat="false" ht="18" hidden="false" customHeight="true" outlineLevel="0" collapsed="false">
      <c r="A43" s="4" t="s">
        <v>65</v>
      </c>
      <c r="B43" s="5" t="n">
        <v>12</v>
      </c>
      <c r="C43" s="6" t="s">
        <v>66</v>
      </c>
    </row>
    <row r="45" customFormat="false" ht="15" hidden="false" customHeight="true" outlineLevel="0" collapsed="false">
      <c r="A45" s="8" t="s">
        <v>67</v>
      </c>
      <c r="B45" s="8"/>
      <c r="C45" s="8"/>
    </row>
  </sheetData>
  <mergeCells count="8">
    <mergeCell ref="A1:C1"/>
    <mergeCell ref="A2:C2"/>
    <mergeCell ref="A4:C4"/>
    <mergeCell ref="A11:C11"/>
    <mergeCell ref="A19:C19"/>
    <mergeCell ref="A29:C29"/>
    <mergeCell ref="A37:C37"/>
    <mergeCell ref="A45:C4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2"/>
    <col collapsed="false" customWidth="true" hidden="false" outlineLevel="0" max="14" min="2" style="0" width="11"/>
  </cols>
  <sheetData>
    <row r="1" customFormat="false" ht="31.5" hidden="false" customHeight="true" outlineLevel="0" collapsed="false">
      <c r="A1" s="1" t="s">
        <v>68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15.75" hidden="false" customHeight="true" outlineLevel="0" collapsed="false">
      <c r="A2" s="2" t="s">
        <v>69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customFormat="false" ht="21.75" hidden="false" customHeight="true" outlineLevel="0" collapsed="false">
      <c r="A3" s="9" t="s">
        <v>70</v>
      </c>
      <c r="B3" s="10" t="s">
        <v>71</v>
      </c>
      <c r="C3" s="10" t="s">
        <v>72</v>
      </c>
      <c r="D3" s="10" t="s">
        <v>73</v>
      </c>
      <c r="E3" s="10" t="s">
        <v>74</v>
      </c>
      <c r="F3" s="10" t="s">
        <v>75</v>
      </c>
      <c r="G3" s="10" t="s">
        <v>76</v>
      </c>
      <c r="H3" s="10" t="s">
        <v>77</v>
      </c>
      <c r="I3" s="10" t="s">
        <v>78</v>
      </c>
      <c r="J3" s="10" t="s">
        <v>79</v>
      </c>
      <c r="K3" s="10" t="s">
        <v>80</v>
      </c>
      <c r="L3" s="10" t="s">
        <v>81</v>
      </c>
      <c r="M3" s="10" t="s">
        <v>82</v>
      </c>
      <c r="N3" s="11" t="s">
        <v>83</v>
      </c>
    </row>
    <row r="4" customFormat="false" ht="19.5" hidden="false" customHeight="true" outlineLevel="0" collapsed="false">
      <c r="A4" s="3" t="s">
        <v>84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</row>
    <row r="5" customFormat="false" ht="18" hidden="false" customHeight="true" outlineLevel="0" collapsed="false">
      <c r="A5" s="12" t="s">
        <v>85</v>
      </c>
      <c r="B5" s="13" t="n">
        <f aca="false">Assumptions!$B$38</f>
        <v>5</v>
      </c>
      <c r="C5" s="13" t="n">
        <f aca="false">ROUND(B5*(1+Assumptions!$B$39),0)</f>
        <v>6</v>
      </c>
      <c r="D5" s="13" t="n">
        <f aca="false">ROUND(C5*(1+Assumptions!$B$39),0)</f>
        <v>7</v>
      </c>
      <c r="E5" s="13" t="n">
        <f aca="false">ROUND(D5*(1+Assumptions!$B$39),0)</f>
        <v>8</v>
      </c>
      <c r="F5" s="13" t="n">
        <f aca="false">ROUND(E5*(1+Assumptions!$B$39),0)</f>
        <v>9</v>
      </c>
      <c r="G5" s="13" t="n">
        <f aca="false">ROUND(F5*(1+Assumptions!$B$39),0)</f>
        <v>10</v>
      </c>
      <c r="H5" s="13" t="n">
        <f aca="false">ROUND(G5*(1+Assumptions!$B$39),0)</f>
        <v>12</v>
      </c>
      <c r="I5" s="13" t="n">
        <f aca="false">ROUND(H5*(1+Assumptions!$B$39),0)</f>
        <v>14</v>
      </c>
      <c r="J5" s="13" t="n">
        <f aca="false">ROUND(I5*(1+Assumptions!$B$39),0)</f>
        <v>16</v>
      </c>
      <c r="K5" s="13" t="n">
        <f aca="false">ROUND(J5*(1+Assumptions!$B$39),0)</f>
        <v>18</v>
      </c>
      <c r="L5" s="13" t="n">
        <f aca="false">ROUND(K5*(1+Assumptions!$B$39),0)</f>
        <v>21</v>
      </c>
      <c r="M5" s="13" t="n">
        <f aca="false">ROUND(L5*(1+Assumptions!$B$39),0)</f>
        <v>24</v>
      </c>
      <c r="N5" s="14" t="n">
        <f aca="false">SUM(B5:M5)</f>
        <v>150</v>
      </c>
    </row>
    <row r="6" customFormat="false" ht="18" hidden="false" customHeight="true" outlineLevel="0" collapsed="false">
      <c r="A6" s="12" t="s">
        <v>86</v>
      </c>
      <c r="B6" s="13" t="n">
        <f aca="false">ROUND(B5*Assumptions!$B$41,0)</f>
        <v>13</v>
      </c>
      <c r="C6" s="13" t="n">
        <f aca="false">ROUND(C5*Assumptions!$B$41,0)</f>
        <v>15</v>
      </c>
      <c r="D6" s="13" t="n">
        <f aca="false">ROUND(D5*Assumptions!$B$41,0)</f>
        <v>18</v>
      </c>
      <c r="E6" s="13" t="n">
        <f aca="false">ROUND(E5*Assumptions!$B$41,0)</f>
        <v>20</v>
      </c>
      <c r="F6" s="13" t="n">
        <f aca="false">ROUND(F5*Assumptions!$B$41,0)</f>
        <v>23</v>
      </c>
      <c r="G6" s="13" t="n">
        <f aca="false">ROUND(G5*Assumptions!$B$41,0)</f>
        <v>25</v>
      </c>
      <c r="H6" s="13" t="n">
        <f aca="false">ROUND(H5*Assumptions!$B$41,0)</f>
        <v>30</v>
      </c>
      <c r="I6" s="13" t="n">
        <f aca="false">ROUND(I5*Assumptions!$B$41,0)</f>
        <v>35</v>
      </c>
      <c r="J6" s="13" t="n">
        <f aca="false">ROUND(J5*Assumptions!$B$41,0)</f>
        <v>40</v>
      </c>
      <c r="K6" s="13" t="n">
        <f aca="false">ROUND(K5*Assumptions!$B$41,0)</f>
        <v>45</v>
      </c>
      <c r="L6" s="13" t="n">
        <f aca="false">ROUND(L5*Assumptions!$B$41,0)</f>
        <v>53</v>
      </c>
      <c r="M6" s="13" t="n">
        <f aca="false">ROUND(M5*Assumptions!$B$41,0)</f>
        <v>60</v>
      </c>
      <c r="N6" s="14" t="n">
        <f aca="false">SUM(B6:M6)</f>
        <v>377</v>
      </c>
    </row>
    <row r="7" customFormat="false" ht="18" hidden="false" customHeight="true" outlineLevel="0" collapsed="false">
      <c r="A7" s="12" t="s">
        <v>87</v>
      </c>
      <c r="B7" s="13" t="n">
        <f aca="false">ROUND(B6*Assumptions!$B$40,0)</f>
        <v>39</v>
      </c>
      <c r="C7" s="13" t="n">
        <f aca="false">ROUND(C6*Assumptions!$B$40,0)</f>
        <v>45</v>
      </c>
      <c r="D7" s="13" t="n">
        <f aca="false">ROUND(D6*Assumptions!$B$40,0)</f>
        <v>54</v>
      </c>
      <c r="E7" s="13" t="n">
        <f aca="false">ROUND(E6*Assumptions!$B$40,0)</f>
        <v>60</v>
      </c>
      <c r="F7" s="13" t="n">
        <f aca="false">ROUND(F6*Assumptions!$B$40,0)</f>
        <v>69</v>
      </c>
      <c r="G7" s="13" t="n">
        <f aca="false">ROUND(G6*Assumptions!$B$40,0)</f>
        <v>75</v>
      </c>
      <c r="H7" s="13" t="n">
        <f aca="false">ROUND(H6*Assumptions!$B$40,0)</f>
        <v>90</v>
      </c>
      <c r="I7" s="13" t="n">
        <f aca="false">ROUND(I6*Assumptions!$B$40,0)</f>
        <v>105</v>
      </c>
      <c r="J7" s="13" t="n">
        <f aca="false">ROUND(J6*Assumptions!$B$40,0)</f>
        <v>120</v>
      </c>
      <c r="K7" s="13" t="n">
        <f aca="false">ROUND(K6*Assumptions!$B$40,0)</f>
        <v>135</v>
      </c>
      <c r="L7" s="13" t="n">
        <f aca="false">ROUND(L6*Assumptions!$B$40,0)</f>
        <v>159</v>
      </c>
      <c r="M7" s="13" t="n">
        <f aca="false">ROUND(M6*Assumptions!$B$40,0)</f>
        <v>180</v>
      </c>
      <c r="N7" s="14" t="n">
        <f aca="false">SUM(B7:M7)</f>
        <v>1131</v>
      </c>
    </row>
    <row r="8" customFormat="false" ht="18" hidden="false" customHeight="true" outlineLevel="0" collapsed="false">
      <c r="A8" s="12" t="s">
        <v>88</v>
      </c>
      <c r="B8" s="13" t="n">
        <f aca="false">ROUND(B7*Assumptions!$B$42,0)</f>
        <v>12</v>
      </c>
      <c r="C8" s="13" t="n">
        <f aca="false">ROUND(C7*Assumptions!$B$42,0)</f>
        <v>14</v>
      </c>
      <c r="D8" s="13" t="n">
        <f aca="false">ROUND(D7*Assumptions!$B$42,0)</f>
        <v>16</v>
      </c>
      <c r="E8" s="13" t="n">
        <f aca="false">ROUND(E7*Assumptions!$B$42,0)</f>
        <v>18</v>
      </c>
      <c r="F8" s="13" t="n">
        <f aca="false">ROUND(F7*Assumptions!$B$42,0)</f>
        <v>21</v>
      </c>
      <c r="G8" s="13" t="n">
        <f aca="false">ROUND(G7*Assumptions!$B$42,0)</f>
        <v>23</v>
      </c>
      <c r="H8" s="13" t="n">
        <f aca="false">ROUND(H7*Assumptions!$B$42,0)</f>
        <v>27</v>
      </c>
      <c r="I8" s="13" t="n">
        <f aca="false">ROUND(I7*Assumptions!$B$42,0)</f>
        <v>32</v>
      </c>
      <c r="J8" s="13" t="n">
        <f aca="false">ROUND(J7*Assumptions!$B$42,0)</f>
        <v>36</v>
      </c>
      <c r="K8" s="13" t="n">
        <f aca="false">ROUND(K7*Assumptions!$B$42,0)</f>
        <v>41</v>
      </c>
      <c r="L8" s="13" t="n">
        <f aca="false">ROUND(L7*Assumptions!$B$42,0)</f>
        <v>48</v>
      </c>
      <c r="M8" s="13" t="n">
        <f aca="false">ROUND(M7*Assumptions!$B$42,0)</f>
        <v>54</v>
      </c>
      <c r="N8" s="14" t="n">
        <f aca="false">SUM(B8:M8)</f>
        <v>342</v>
      </c>
    </row>
    <row r="9" customFormat="false" ht="18" hidden="false" customHeight="true" outlineLevel="0" collapsed="false">
      <c r="A9" s="12" t="s">
        <v>89</v>
      </c>
      <c r="B9" s="13" t="n">
        <f aca="false">B8</f>
        <v>12</v>
      </c>
      <c r="C9" s="13" t="n">
        <f aca="false">B9+C8</f>
        <v>26</v>
      </c>
      <c r="D9" s="13" t="n">
        <f aca="false">C9+D8</f>
        <v>42</v>
      </c>
      <c r="E9" s="13" t="n">
        <f aca="false">D9+E8</f>
        <v>60</v>
      </c>
      <c r="F9" s="13" t="n">
        <f aca="false">E9+F8</f>
        <v>81</v>
      </c>
      <c r="G9" s="13" t="n">
        <f aca="false">F9+G8</f>
        <v>104</v>
      </c>
      <c r="H9" s="13" t="n">
        <f aca="false">G9+H8</f>
        <v>131</v>
      </c>
      <c r="I9" s="13" t="n">
        <f aca="false">H9+I8</f>
        <v>163</v>
      </c>
      <c r="J9" s="13" t="n">
        <f aca="false">I9+J8</f>
        <v>199</v>
      </c>
      <c r="K9" s="13" t="n">
        <f aca="false">J9+K8</f>
        <v>240</v>
      </c>
      <c r="L9" s="13" t="n">
        <f aca="false">K9+L8</f>
        <v>288</v>
      </c>
      <c r="M9" s="13" t="n">
        <f aca="false">L9+M8</f>
        <v>342</v>
      </c>
      <c r="N9" s="14" t="n">
        <f aca="false">SUM(B9:M9)</f>
        <v>1688</v>
      </c>
    </row>
    <row r="10" customFormat="false" ht="6" hidden="false" customHeight="true" outlineLevel="0" collapsed="false"/>
    <row r="11" customFormat="false" ht="19.5" hidden="false" customHeight="true" outlineLevel="0" collapsed="false">
      <c r="A11" s="3" t="s">
        <v>90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customFormat="false" ht="18" hidden="false" customHeight="true" outlineLevel="0" collapsed="false">
      <c r="A12" s="15" t="s">
        <v>91</v>
      </c>
      <c r="B12" s="16" t="n">
        <f aca="false">B7*Assumptions!$B$5</f>
        <v>468</v>
      </c>
      <c r="C12" s="16" t="n">
        <f aca="false">C7*Assumptions!$B$5</f>
        <v>540</v>
      </c>
      <c r="D12" s="16" t="n">
        <f aca="false">D7*Assumptions!$B$5</f>
        <v>648</v>
      </c>
      <c r="E12" s="16" t="n">
        <f aca="false">E7*Assumptions!$B$5</f>
        <v>720</v>
      </c>
      <c r="F12" s="16" t="n">
        <f aca="false">F7*Assumptions!$B$5</f>
        <v>828</v>
      </c>
      <c r="G12" s="16" t="n">
        <f aca="false">G7*Assumptions!$B$5</f>
        <v>900</v>
      </c>
      <c r="H12" s="16" t="n">
        <f aca="false">H7*Assumptions!$B$5</f>
        <v>1080</v>
      </c>
      <c r="I12" s="16" t="n">
        <f aca="false">I7*Assumptions!$B$5</f>
        <v>1260</v>
      </c>
      <c r="J12" s="16" t="n">
        <f aca="false">J7*Assumptions!$B$5</f>
        <v>1440</v>
      </c>
      <c r="K12" s="16" t="n">
        <f aca="false">K7*Assumptions!$B$5</f>
        <v>1620</v>
      </c>
      <c r="L12" s="16" t="n">
        <f aca="false">L7*Assumptions!$B$5</f>
        <v>1908</v>
      </c>
      <c r="M12" s="16" t="n">
        <f aca="false">M7*Assumptions!$B$5</f>
        <v>2160</v>
      </c>
      <c r="N12" s="17" t="n">
        <f aca="false">SUM(B12:M12)</f>
        <v>13572</v>
      </c>
    </row>
    <row r="13" customFormat="false" ht="18" hidden="false" customHeight="true" outlineLevel="0" collapsed="false">
      <c r="A13" s="15" t="s">
        <v>92</v>
      </c>
      <c r="B13" s="16" t="n">
        <f aca="false">B7*(Assumptions!$B$6-Assumptions!$B$7)</f>
        <v>585</v>
      </c>
      <c r="C13" s="16" t="n">
        <f aca="false">C7*(Assumptions!$B$6-Assumptions!$B$7)</f>
        <v>675</v>
      </c>
      <c r="D13" s="16" t="n">
        <f aca="false">D7*(Assumptions!$B$6-Assumptions!$B$7)</f>
        <v>810</v>
      </c>
      <c r="E13" s="16" t="n">
        <f aca="false">E7*(Assumptions!$B$6-Assumptions!$B$7)</f>
        <v>900</v>
      </c>
      <c r="F13" s="16" t="n">
        <f aca="false">F7*(Assumptions!$B$6-Assumptions!$B$7)</f>
        <v>1035</v>
      </c>
      <c r="G13" s="16" t="n">
        <f aca="false">G7*(Assumptions!$B$6-Assumptions!$B$7)</f>
        <v>1125</v>
      </c>
      <c r="H13" s="16" t="n">
        <f aca="false">H7*(Assumptions!$B$6-Assumptions!$B$7)</f>
        <v>1350</v>
      </c>
      <c r="I13" s="16" t="n">
        <f aca="false">I7*(Assumptions!$B$6-Assumptions!$B$7)</f>
        <v>1575</v>
      </c>
      <c r="J13" s="16" t="n">
        <f aca="false">J7*(Assumptions!$B$6-Assumptions!$B$7)</f>
        <v>1800</v>
      </c>
      <c r="K13" s="16" t="n">
        <f aca="false">K7*(Assumptions!$B$6-Assumptions!$B$7)</f>
        <v>2025</v>
      </c>
      <c r="L13" s="16" t="n">
        <f aca="false">L7*(Assumptions!$B$6-Assumptions!$B$7)</f>
        <v>2385</v>
      </c>
      <c r="M13" s="16" t="n">
        <f aca="false">M7*(Assumptions!$B$6-Assumptions!$B$7)</f>
        <v>2700</v>
      </c>
      <c r="N13" s="17" t="n">
        <f aca="false">SUM(B13:M13)</f>
        <v>16965</v>
      </c>
    </row>
    <row r="14" customFormat="false" ht="18" hidden="false" customHeight="true" outlineLevel="0" collapsed="false">
      <c r="A14" s="15" t="s">
        <v>93</v>
      </c>
      <c r="B14" s="16" t="n">
        <f aca="false">ROUND(B5*Assumptions!$B$9,0)*Assumptions!$B$8</f>
        <v>20</v>
      </c>
      <c r="C14" s="16" t="n">
        <f aca="false">ROUND(C5*Assumptions!$B$9,0)*Assumptions!$B$8</f>
        <v>20</v>
      </c>
      <c r="D14" s="16" t="n">
        <f aca="false">ROUND(D5*Assumptions!$B$9,0)*Assumptions!$B$8</f>
        <v>20</v>
      </c>
      <c r="E14" s="16" t="n">
        <f aca="false">ROUND(E5*Assumptions!$B$9,0)*Assumptions!$B$8</f>
        <v>20</v>
      </c>
      <c r="F14" s="16" t="n">
        <f aca="false">ROUND(F5*Assumptions!$B$9,0)*Assumptions!$B$8</f>
        <v>20</v>
      </c>
      <c r="G14" s="16" t="n">
        <f aca="false">ROUND(G5*Assumptions!$B$9,0)*Assumptions!$B$8</f>
        <v>40</v>
      </c>
      <c r="H14" s="16" t="n">
        <f aca="false">ROUND(H5*Assumptions!$B$9,0)*Assumptions!$B$8</f>
        <v>40</v>
      </c>
      <c r="I14" s="16" t="n">
        <f aca="false">ROUND(I5*Assumptions!$B$9,0)*Assumptions!$B$8</f>
        <v>40</v>
      </c>
      <c r="J14" s="16" t="n">
        <f aca="false">ROUND(J5*Assumptions!$B$9,0)*Assumptions!$B$8</f>
        <v>40</v>
      </c>
      <c r="K14" s="16" t="n">
        <f aca="false">ROUND(K5*Assumptions!$B$9,0)*Assumptions!$B$8</f>
        <v>60</v>
      </c>
      <c r="L14" s="16" t="n">
        <f aca="false">ROUND(L5*Assumptions!$B$9,0)*Assumptions!$B$8</f>
        <v>60</v>
      </c>
      <c r="M14" s="16" t="n">
        <f aca="false">ROUND(M5*Assumptions!$B$9,0)*Assumptions!$B$8</f>
        <v>80</v>
      </c>
      <c r="N14" s="17" t="n">
        <f aca="false">SUM(B14:M14)</f>
        <v>460</v>
      </c>
    </row>
    <row r="15" customFormat="false" ht="18" hidden="false" customHeight="true" outlineLevel="0" collapsed="false">
      <c r="A15" s="18" t="s">
        <v>94</v>
      </c>
      <c r="B15" s="19" t="n">
        <f aca="false">SUM(B12:B14)</f>
        <v>1073</v>
      </c>
      <c r="C15" s="19" t="n">
        <f aca="false">SUM(C12:C14)</f>
        <v>1235</v>
      </c>
      <c r="D15" s="19" t="n">
        <f aca="false">SUM(D12:D14)</f>
        <v>1478</v>
      </c>
      <c r="E15" s="19" t="n">
        <f aca="false">SUM(E12:E14)</f>
        <v>1640</v>
      </c>
      <c r="F15" s="19" t="n">
        <f aca="false">SUM(F12:F14)</f>
        <v>1883</v>
      </c>
      <c r="G15" s="19" t="n">
        <f aca="false">SUM(G12:G14)</f>
        <v>2065</v>
      </c>
      <c r="H15" s="19" t="n">
        <f aca="false">SUM(H12:H14)</f>
        <v>2470</v>
      </c>
      <c r="I15" s="19" t="n">
        <f aca="false">SUM(I12:I14)</f>
        <v>2875</v>
      </c>
      <c r="J15" s="19" t="n">
        <f aca="false">SUM(J12:J14)</f>
        <v>3280</v>
      </c>
      <c r="K15" s="19" t="n">
        <f aca="false">SUM(K12:K14)</f>
        <v>3705</v>
      </c>
      <c r="L15" s="19" t="n">
        <f aca="false">SUM(L12:L14)</f>
        <v>4353</v>
      </c>
      <c r="M15" s="19" t="n">
        <f aca="false">SUM(M12:M14)</f>
        <v>4940</v>
      </c>
      <c r="N15" s="20" t="n">
        <f aca="false">SUM(B15:M15)</f>
        <v>30997</v>
      </c>
    </row>
    <row r="16" customFormat="false" ht="6" hidden="false" customHeight="true" outlineLevel="0" collapsed="false"/>
    <row r="17" customFormat="false" ht="19.5" hidden="false" customHeight="true" outlineLevel="0" collapsed="false">
      <c r="A17" s="3" t="s">
        <v>95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customFormat="false" ht="18" hidden="false" customHeight="true" outlineLevel="0" collapsed="false">
      <c r="A18" s="15" t="s">
        <v>96</v>
      </c>
      <c r="B18" s="16" t="n">
        <f aca="false">B8*Assumptions!$B$12</f>
        <v>300</v>
      </c>
      <c r="C18" s="16" t="n">
        <f aca="false">C8*Assumptions!$B$12</f>
        <v>350</v>
      </c>
      <c r="D18" s="16" t="n">
        <f aca="false">D8*Assumptions!$B$12</f>
        <v>400</v>
      </c>
      <c r="E18" s="16" t="n">
        <f aca="false">E8*Assumptions!$B$12</f>
        <v>450</v>
      </c>
      <c r="F18" s="16" t="n">
        <f aca="false">F8*Assumptions!$B$12</f>
        <v>525</v>
      </c>
      <c r="G18" s="16" t="n">
        <f aca="false">G8*Assumptions!$B$12</f>
        <v>575</v>
      </c>
      <c r="H18" s="16" t="n">
        <f aca="false">H8*Assumptions!$B$12</f>
        <v>675</v>
      </c>
      <c r="I18" s="16" t="n">
        <f aca="false">I8*Assumptions!$B$12</f>
        <v>800</v>
      </c>
      <c r="J18" s="16" t="n">
        <f aca="false">J8*Assumptions!$B$12</f>
        <v>900</v>
      </c>
      <c r="K18" s="16" t="n">
        <f aca="false">K8*Assumptions!$B$12</f>
        <v>1025</v>
      </c>
      <c r="L18" s="16" t="n">
        <f aca="false">L8*Assumptions!$B$12</f>
        <v>1200</v>
      </c>
      <c r="M18" s="16" t="n">
        <f aca="false">M8*Assumptions!$B$12</f>
        <v>1350</v>
      </c>
      <c r="N18" s="17" t="n">
        <f aca="false">SUM(B18:M18)</f>
        <v>8550</v>
      </c>
    </row>
    <row r="19" customFormat="false" ht="18" hidden="false" customHeight="true" outlineLevel="0" collapsed="false">
      <c r="A19" s="15" t="s">
        <v>97</v>
      </c>
      <c r="B19" s="16" t="n">
        <f aca="false">ROUND(B8*Assumptions!$B$14,0)*Assumptions!$B$13</f>
        <v>350</v>
      </c>
      <c r="C19" s="16" t="n">
        <f aca="false">ROUND(C8*Assumptions!$B$14,0)*Assumptions!$B$13</f>
        <v>525</v>
      </c>
      <c r="D19" s="16" t="n">
        <f aca="false">ROUND(D8*Assumptions!$B$14,0)*Assumptions!$B$13</f>
        <v>525</v>
      </c>
      <c r="E19" s="16" t="n">
        <f aca="false">ROUND(E8*Assumptions!$B$14,0)*Assumptions!$B$13</f>
        <v>700</v>
      </c>
      <c r="F19" s="16" t="n">
        <f aca="false">ROUND(F8*Assumptions!$B$14,0)*Assumptions!$B$13</f>
        <v>700</v>
      </c>
      <c r="G19" s="16" t="n">
        <f aca="false">ROUND(G8*Assumptions!$B$14,0)*Assumptions!$B$13</f>
        <v>875</v>
      </c>
      <c r="H19" s="16" t="n">
        <f aca="false">ROUND(H8*Assumptions!$B$14,0)*Assumptions!$B$13</f>
        <v>875</v>
      </c>
      <c r="I19" s="16" t="n">
        <f aca="false">ROUND(I8*Assumptions!$B$14,0)*Assumptions!$B$13</f>
        <v>1050</v>
      </c>
      <c r="J19" s="16" t="n">
        <f aca="false">ROUND(J8*Assumptions!$B$14,0)*Assumptions!$B$13</f>
        <v>1225</v>
      </c>
      <c r="K19" s="16" t="n">
        <f aca="false">ROUND(K8*Assumptions!$B$14,0)*Assumptions!$B$13</f>
        <v>1400</v>
      </c>
      <c r="L19" s="16" t="n">
        <f aca="false">ROUND(L8*Assumptions!$B$14,0)*Assumptions!$B$13</f>
        <v>1750</v>
      </c>
      <c r="M19" s="16" t="n">
        <f aca="false">ROUND(M8*Assumptions!$B$14,0)*Assumptions!$B$13</f>
        <v>1925</v>
      </c>
      <c r="N19" s="17" t="n">
        <f aca="false">SUM(B19:M19)</f>
        <v>11900</v>
      </c>
    </row>
    <row r="20" customFormat="false" ht="18" hidden="false" customHeight="true" outlineLevel="0" collapsed="false">
      <c r="A20" s="15" t="s">
        <v>98</v>
      </c>
      <c r="B20" s="16" t="n">
        <f aca="false">B9*Assumptions!$B$15</f>
        <v>18</v>
      </c>
      <c r="C20" s="16" t="n">
        <f aca="false">C9*Assumptions!$B$15</f>
        <v>39</v>
      </c>
      <c r="D20" s="16" t="n">
        <f aca="false">D9*Assumptions!$B$15</f>
        <v>63</v>
      </c>
      <c r="E20" s="16" t="n">
        <f aca="false">E9*Assumptions!$B$15</f>
        <v>90</v>
      </c>
      <c r="F20" s="16" t="n">
        <f aca="false">F9*Assumptions!$B$15</f>
        <v>121.5</v>
      </c>
      <c r="G20" s="16" t="n">
        <f aca="false">G9*Assumptions!$B$15</f>
        <v>156</v>
      </c>
      <c r="H20" s="16" t="n">
        <f aca="false">H9*Assumptions!$B$15</f>
        <v>196.5</v>
      </c>
      <c r="I20" s="16" t="n">
        <f aca="false">I9*Assumptions!$B$15</f>
        <v>244.5</v>
      </c>
      <c r="J20" s="16" t="n">
        <f aca="false">J9*Assumptions!$B$15</f>
        <v>298.5</v>
      </c>
      <c r="K20" s="16" t="n">
        <f aca="false">K9*Assumptions!$B$15</f>
        <v>360</v>
      </c>
      <c r="L20" s="16" t="n">
        <f aca="false">L9*Assumptions!$B$15</f>
        <v>432</v>
      </c>
      <c r="M20" s="16" t="n">
        <f aca="false">M9*Assumptions!$B$15</f>
        <v>513</v>
      </c>
      <c r="N20" s="17" t="n">
        <f aca="false">SUM(B20:M20)</f>
        <v>2532</v>
      </c>
    </row>
    <row r="21" customFormat="false" ht="18" hidden="false" customHeight="true" outlineLevel="0" collapsed="false">
      <c r="A21" s="15" t="s">
        <v>99</v>
      </c>
      <c r="B21" s="16" t="n">
        <f aca="false">ROUND(B9*Assumptions!$B$17,0)*Assumptions!$B$16</f>
        <v>24.5</v>
      </c>
      <c r="C21" s="16" t="n">
        <f aca="false">ROUND(C9*Assumptions!$B$17,0)*Assumptions!$B$16</f>
        <v>56</v>
      </c>
      <c r="D21" s="16" t="n">
        <f aca="false">ROUND(D9*Assumptions!$B$17,0)*Assumptions!$B$16</f>
        <v>87.5</v>
      </c>
      <c r="E21" s="16" t="n">
        <f aca="false">ROUND(E9*Assumptions!$B$17,0)*Assumptions!$B$16</f>
        <v>126</v>
      </c>
      <c r="F21" s="16" t="n">
        <f aca="false">ROUND(F9*Assumptions!$B$17,0)*Assumptions!$B$16</f>
        <v>171.5</v>
      </c>
      <c r="G21" s="16" t="n">
        <f aca="false">ROUND(G9*Assumptions!$B$17,0)*Assumptions!$B$16</f>
        <v>217</v>
      </c>
      <c r="H21" s="16" t="n">
        <f aca="false">ROUND(H9*Assumptions!$B$17,0)*Assumptions!$B$16</f>
        <v>276.5</v>
      </c>
      <c r="I21" s="16" t="n">
        <f aca="false">ROUND(I9*Assumptions!$B$17,0)*Assumptions!$B$16</f>
        <v>343</v>
      </c>
      <c r="J21" s="16" t="n">
        <f aca="false">ROUND(J9*Assumptions!$B$17,0)*Assumptions!$B$16</f>
        <v>416.5</v>
      </c>
      <c r="K21" s="16" t="n">
        <f aca="false">ROUND(K9*Assumptions!$B$17,0)*Assumptions!$B$16</f>
        <v>504</v>
      </c>
      <c r="L21" s="16" t="n">
        <f aca="false">ROUND(L9*Assumptions!$B$17,0)*Assumptions!$B$16</f>
        <v>605.5</v>
      </c>
      <c r="M21" s="16" t="n">
        <f aca="false">ROUND(M9*Assumptions!$B$17,0)*Assumptions!$B$16</f>
        <v>717.5</v>
      </c>
      <c r="N21" s="17" t="n">
        <f aca="false">SUM(B21:M21)</f>
        <v>3545.5</v>
      </c>
    </row>
    <row r="22" customFormat="false" ht="18" hidden="false" customHeight="true" outlineLevel="0" collapsed="false">
      <c r="A22" s="18" t="s">
        <v>100</v>
      </c>
      <c r="B22" s="19" t="n">
        <f aca="false">SUM(B18:B21)</f>
        <v>692.5</v>
      </c>
      <c r="C22" s="19" t="n">
        <f aca="false">SUM(C18:C21)</f>
        <v>970</v>
      </c>
      <c r="D22" s="19" t="n">
        <f aca="false">SUM(D18:D21)</f>
        <v>1075.5</v>
      </c>
      <c r="E22" s="19" t="n">
        <f aca="false">SUM(E18:E21)</f>
        <v>1366</v>
      </c>
      <c r="F22" s="19" t="n">
        <f aca="false">SUM(F18:F21)</f>
        <v>1518</v>
      </c>
      <c r="G22" s="19" t="n">
        <f aca="false">SUM(G18:G21)</f>
        <v>1823</v>
      </c>
      <c r="H22" s="19" t="n">
        <f aca="false">SUM(H18:H21)</f>
        <v>2023</v>
      </c>
      <c r="I22" s="19" t="n">
        <f aca="false">SUM(I18:I21)</f>
        <v>2437.5</v>
      </c>
      <c r="J22" s="19" t="n">
        <f aca="false">SUM(J18:J21)</f>
        <v>2840</v>
      </c>
      <c r="K22" s="19" t="n">
        <f aca="false">SUM(K18:K21)</f>
        <v>3289</v>
      </c>
      <c r="L22" s="19" t="n">
        <f aca="false">SUM(L18:L21)</f>
        <v>3987.5</v>
      </c>
      <c r="M22" s="19" t="n">
        <f aca="false">SUM(M18:M21)</f>
        <v>4505.5</v>
      </c>
      <c r="N22" s="20" t="n">
        <f aca="false">SUM(B22:M22)</f>
        <v>26527.5</v>
      </c>
    </row>
    <row r="23" customFormat="false" ht="6" hidden="false" customHeight="true" outlineLevel="0" collapsed="false"/>
    <row r="24" customFormat="false" ht="19.5" hidden="false" customHeight="true" outlineLevel="0" collapsed="false">
      <c r="A24" s="3" t="s">
        <v>101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customFormat="false" ht="18" hidden="false" customHeight="true" outlineLevel="0" collapsed="false">
      <c r="A25" s="15" t="s">
        <v>102</v>
      </c>
      <c r="B25" s="16" t="n">
        <f aca="false">ROUND(B8*Assumptions!$B$21,0)*Assumptions!$B$20</f>
        <v>600</v>
      </c>
      <c r="C25" s="16" t="n">
        <f aca="false">ROUND(C8*Assumptions!$B$21,0)*Assumptions!$B$20</f>
        <v>700</v>
      </c>
      <c r="D25" s="16" t="n">
        <f aca="false">ROUND(D8*Assumptions!$B$21,0)*Assumptions!$B$20</f>
        <v>800</v>
      </c>
      <c r="E25" s="16" t="n">
        <f aca="false">ROUND(E8*Assumptions!$B$21,0)*Assumptions!$B$20</f>
        <v>900</v>
      </c>
      <c r="F25" s="16" t="n">
        <f aca="false">ROUND(F8*Assumptions!$B$21,0)*Assumptions!$B$20</f>
        <v>1100</v>
      </c>
      <c r="G25" s="16" t="n">
        <f aca="false">ROUND(G8*Assumptions!$B$21,0)*Assumptions!$B$20</f>
        <v>1200</v>
      </c>
      <c r="H25" s="16" t="n">
        <f aca="false">ROUND(H8*Assumptions!$B$21,0)*Assumptions!$B$20</f>
        <v>1400</v>
      </c>
      <c r="I25" s="16" t="n">
        <f aca="false">ROUND(I8*Assumptions!$B$21,0)*Assumptions!$B$20</f>
        <v>1600</v>
      </c>
      <c r="J25" s="16" t="n">
        <f aca="false">ROUND(J8*Assumptions!$B$21,0)*Assumptions!$B$20</f>
        <v>1800</v>
      </c>
      <c r="K25" s="16" t="n">
        <f aca="false">ROUND(K8*Assumptions!$B$21,0)*Assumptions!$B$20</f>
        <v>2100</v>
      </c>
      <c r="L25" s="16" t="n">
        <f aca="false">ROUND(L8*Assumptions!$B$21,0)*Assumptions!$B$20</f>
        <v>2400</v>
      </c>
      <c r="M25" s="16" t="n">
        <f aca="false">ROUND(M8*Assumptions!$B$21,0)*Assumptions!$B$20</f>
        <v>2700</v>
      </c>
      <c r="N25" s="17" t="n">
        <f aca="false">SUM(B25:M25)</f>
        <v>17300</v>
      </c>
    </row>
    <row r="26" customFormat="false" ht="18" hidden="false" customHeight="true" outlineLevel="0" collapsed="false">
      <c r="A26" s="15" t="s">
        <v>103</v>
      </c>
      <c r="B26" s="16" t="n">
        <f aca="false">ROUND(B8*Assumptions!$B$23,0)*Assumptions!$B$22</f>
        <v>300</v>
      </c>
      <c r="C26" s="16" t="n">
        <f aca="false">ROUND(C8*Assumptions!$B$23,0)*Assumptions!$B$22</f>
        <v>300</v>
      </c>
      <c r="D26" s="16" t="n">
        <f aca="false">ROUND(D8*Assumptions!$B$23,0)*Assumptions!$B$22</f>
        <v>375</v>
      </c>
      <c r="E26" s="16" t="n">
        <f aca="false">ROUND(E8*Assumptions!$B$23,0)*Assumptions!$B$22</f>
        <v>375</v>
      </c>
      <c r="F26" s="16" t="n">
        <f aca="false">ROUND(F8*Assumptions!$B$23,0)*Assumptions!$B$22</f>
        <v>450</v>
      </c>
      <c r="G26" s="16" t="n">
        <f aca="false">ROUND(G8*Assumptions!$B$23,0)*Assumptions!$B$22</f>
        <v>525</v>
      </c>
      <c r="H26" s="16" t="n">
        <f aca="false">ROUND(H8*Assumptions!$B$23,0)*Assumptions!$B$22</f>
        <v>600</v>
      </c>
      <c r="I26" s="16" t="n">
        <f aca="false">ROUND(I8*Assumptions!$B$23,0)*Assumptions!$B$22</f>
        <v>750</v>
      </c>
      <c r="J26" s="16" t="n">
        <f aca="false">ROUND(J8*Assumptions!$B$23,0)*Assumptions!$B$22</f>
        <v>825</v>
      </c>
      <c r="K26" s="16" t="n">
        <f aca="false">ROUND(K8*Assumptions!$B$23,0)*Assumptions!$B$22</f>
        <v>900</v>
      </c>
      <c r="L26" s="16" t="n">
        <f aca="false">ROUND(L8*Assumptions!$B$23,0)*Assumptions!$B$22</f>
        <v>1050</v>
      </c>
      <c r="M26" s="16" t="n">
        <f aca="false">ROUND(M8*Assumptions!$B$23,0)*Assumptions!$B$22</f>
        <v>1200</v>
      </c>
      <c r="N26" s="17" t="n">
        <f aca="false">SUM(B26:M26)</f>
        <v>7650</v>
      </c>
    </row>
    <row r="27" customFormat="false" ht="18" hidden="false" customHeight="true" outlineLevel="0" collapsed="false">
      <c r="A27" s="15" t="s">
        <v>104</v>
      </c>
      <c r="B27" s="16" t="n">
        <f aca="false">ROUND(B8*Assumptions!$B$25,0)*Assumptions!$B$24</f>
        <v>150</v>
      </c>
      <c r="C27" s="16" t="n">
        <f aca="false">ROUND(C8*Assumptions!$B$25,0)*Assumptions!$B$24</f>
        <v>200</v>
      </c>
      <c r="D27" s="16" t="n">
        <f aca="false">ROUND(D8*Assumptions!$B$25,0)*Assumptions!$B$24</f>
        <v>200</v>
      </c>
      <c r="E27" s="16" t="n">
        <f aca="false">ROUND(E8*Assumptions!$B$25,0)*Assumptions!$B$24</f>
        <v>250</v>
      </c>
      <c r="F27" s="16" t="n">
        <f aca="false">ROUND(F8*Assumptions!$B$25,0)*Assumptions!$B$24</f>
        <v>250</v>
      </c>
      <c r="G27" s="16" t="n">
        <f aca="false">ROUND(G8*Assumptions!$B$25,0)*Assumptions!$B$24</f>
        <v>300</v>
      </c>
      <c r="H27" s="16" t="n">
        <f aca="false">ROUND(H8*Assumptions!$B$25,0)*Assumptions!$B$24</f>
        <v>350</v>
      </c>
      <c r="I27" s="16" t="n">
        <f aca="false">ROUND(I8*Assumptions!$B$25,0)*Assumptions!$B$24</f>
        <v>400</v>
      </c>
      <c r="J27" s="16" t="n">
        <f aca="false">ROUND(J8*Assumptions!$B$25,0)*Assumptions!$B$24</f>
        <v>450</v>
      </c>
      <c r="K27" s="16" t="n">
        <f aca="false">ROUND(K8*Assumptions!$B$25,0)*Assumptions!$B$24</f>
        <v>500</v>
      </c>
      <c r="L27" s="16" t="n">
        <f aca="false">ROUND(L8*Assumptions!$B$25,0)*Assumptions!$B$24</f>
        <v>600</v>
      </c>
      <c r="M27" s="16" t="n">
        <f aca="false">ROUND(M8*Assumptions!$B$25,0)*Assumptions!$B$24</f>
        <v>700</v>
      </c>
      <c r="N27" s="17" t="n">
        <f aca="false">SUM(B27:M27)</f>
        <v>4350</v>
      </c>
    </row>
    <row r="28" customFormat="false" ht="18" hidden="false" customHeight="true" outlineLevel="0" collapsed="false">
      <c r="A28" s="15" t="s">
        <v>105</v>
      </c>
      <c r="B28" s="16" t="n">
        <f aca="false">ROUND(B8*Assumptions!$B$27*Assumptions!$B$26,0)</f>
        <v>135</v>
      </c>
      <c r="C28" s="16" t="n">
        <f aca="false">ROUND(C8*Assumptions!$B$27*Assumptions!$B$26,0)</f>
        <v>158</v>
      </c>
      <c r="D28" s="16" t="n">
        <f aca="false">ROUND(D8*Assumptions!$B$27*Assumptions!$B$26,0)</f>
        <v>180</v>
      </c>
      <c r="E28" s="16" t="n">
        <f aca="false">ROUND(E8*Assumptions!$B$27*Assumptions!$B$26,0)</f>
        <v>203</v>
      </c>
      <c r="F28" s="16" t="n">
        <f aca="false">ROUND(F8*Assumptions!$B$27*Assumptions!$B$26,0)</f>
        <v>236</v>
      </c>
      <c r="G28" s="16" t="n">
        <f aca="false">ROUND(G8*Assumptions!$B$27*Assumptions!$B$26,0)</f>
        <v>259</v>
      </c>
      <c r="H28" s="16" t="n">
        <f aca="false">ROUND(H8*Assumptions!$B$27*Assumptions!$B$26,0)</f>
        <v>304</v>
      </c>
      <c r="I28" s="16" t="n">
        <f aca="false">ROUND(I8*Assumptions!$B$27*Assumptions!$B$26,0)</f>
        <v>360</v>
      </c>
      <c r="J28" s="16" t="n">
        <f aca="false">ROUND(J8*Assumptions!$B$27*Assumptions!$B$26,0)</f>
        <v>405</v>
      </c>
      <c r="K28" s="16" t="n">
        <f aca="false">ROUND(K8*Assumptions!$B$27*Assumptions!$B$26,0)</f>
        <v>461</v>
      </c>
      <c r="L28" s="16" t="n">
        <f aca="false">ROUND(L8*Assumptions!$B$27*Assumptions!$B$26,0)</f>
        <v>540</v>
      </c>
      <c r="M28" s="16" t="n">
        <f aca="false">ROUND(M8*Assumptions!$B$27*Assumptions!$B$26,0)</f>
        <v>608</v>
      </c>
      <c r="N28" s="17" t="n">
        <f aca="false">SUM(B28:M28)</f>
        <v>3849</v>
      </c>
    </row>
    <row r="29" customFormat="false" ht="18" hidden="false" customHeight="true" outlineLevel="0" collapsed="false">
      <c r="A29" s="18" t="s">
        <v>106</v>
      </c>
      <c r="B29" s="19" t="n">
        <f aca="false">SUM(B25:B28)</f>
        <v>1185</v>
      </c>
      <c r="C29" s="19" t="n">
        <f aca="false">SUM(C25:C28)</f>
        <v>1358</v>
      </c>
      <c r="D29" s="19" t="n">
        <f aca="false">SUM(D25:D28)</f>
        <v>1555</v>
      </c>
      <c r="E29" s="19" t="n">
        <f aca="false">SUM(E25:E28)</f>
        <v>1728</v>
      </c>
      <c r="F29" s="19" t="n">
        <f aca="false">SUM(F25:F28)</f>
        <v>2036</v>
      </c>
      <c r="G29" s="19" t="n">
        <f aca="false">SUM(G25:G28)</f>
        <v>2284</v>
      </c>
      <c r="H29" s="19" t="n">
        <f aca="false">SUM(H25:H28)</f>
        <v>2654</v>
      </c>
      <c r="I29" s="19" t="n">
        <f aca="false">SUM(I25:I28)</f>
        <v>3110</v>
      </c>
      <c r="J29" s="19" t="n">
        <f aca="false">SUM(J25:J28)</f>
        <v>3480</v>
      </c>
      <c r="K29" s="19" t="n">
        <f aca="false">SUM(K25:K28)</f>
        <v>3961</v>
      </c>
      <c r="L29" s="19" t="n">
        <f aca="false">SUM(L25:L28)</f>
        <v>4590</v>
      </c>
      <c r="M29" s="19" t="n">
        <f aca="false">SUM(M25:M28)</f>
        <v>5208</v>
      </c>
      <c r="N29" s="20" t="n">
        <f aca="false">SUM(B29:M29)</f>
        <v>33149</v>
      </c>
    </row>
    <row r="30" customFormat="false" ht="6" hidden="false" customHeight="true" outlineLevel="0" collapsed="false"/>
    <row r="31" customFormat="false" ht="19.5" hidden="false" customHeight="true" outlineLevel="0" collapsed="false">
      <c r="A31" s="3" t="s">
        <v>107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</row>
    <row r="32" customFormat="false" ht="18" hidden="false" customHeight="true" outlineLevel="0" collapsed="false">
      <c r="A32" s="15" t="s">
        <v>108</v>
      </c>
      <c r="B32" s="21" t="n">
        <f aca="false">ROUND(B5*Assumptions!$B$33,0)</f>
        <v>2</v>
      </c>
      <c r="C32" s="21" t="n">
        <f aca="false">ROUND(C5*Assumptions!$B$33,0)</f>
        <v>2</v>
      </c>
      <c r="D32" s="21" t="n">
        <f aca="false">ROUND(D5*Assumptions!$B$33,0)</f>
        <v>3</v>
      </c>
      <c r="E32" s="21" t="n">
        <f aca="false">ROUND(E5*Assumptions!$B$33,0)</f>
        <v>3</v>
      </c>
      <c r="F32" s="21" t="n">
        <f aca="false">ROUND(F5*Assumptions!$B$33,0)</f>
        <v>4</v>
      </c>
      <c r="G32" s="21" t="n">
        <f aca="false">ROUND(G5*Assumptions!$B$33,0)</f>
        <v>4</v>
      </c>
      <c r="H32" s="21" t="n">
        <f aca="false">ROUND(H5*Assumptions!$B$33,0)</f>
        <v>5</v>
      </c>
      <c r="I32" s="21" t="n">
        <f aca="false">ROUND(I5*Assumptions!$B$33,0)</f>
        <v>6</v>
      </c>
      <c r="J32" s="21" t="n">
        <f aca="false">ROUND(J5*Assumptions!$B$33,0)</f>
        <v>6</v>
      </c>
      <c r="K32" s="21" t="n">
        <f aca="false">ROUND(K5*Assumptions!$B$33,0)</f>
        <v>7</v>
      </c>
      <c r="L32" s="21" t="n">
        <f aca="false">ROUND(L5*Assumptions!$B$33,0)</f>
        <v>8</v>
      </c>
      <c r="M32" s="21" t="n">
        <f aca="false">ROUND(M5*Assumptions!$B$33,0)</f>
        <v>10</v>
      </c>
      <c r="N32" s="14" t="n">
        <f aca="false">SUM(B32:M32)</f>
        <v>60</v>
      </c>
    </row>
    <row r="33" customFormat="false" ht="18" hidden="false" customHeight="true" outlineLevel="0" collapsed="false">
      <c r="A33" s="15" t="s">
        <v>109</v>
      </c>
      <c r="B33" s="21" t="n">
        <f aca="false">ROUND(B5*Assumptions!$B$34,0)</f>
        <v>2</v>
      </c>
      <c r="C33" s="21" t="n">
        <f aca="false">ROUND(C5*Assumptions!$B$34,0)</f>
        <v>2</v>
      </c>
      <c r="D33" s="21" t="n">
        <f aca="false">ROUND(D5*Assumptions!$B$34,0)</f>
        <v>2</v>
      </c>
      <c r="E33" s="21" t="n">
        <f aca="false">ROUND(E5*Assumptions!$B$34,0)</f>
        <v>3</v>
      </c>
      <c r="F33" s="21" t="n">
        <f aca="false">ROUND(F5*Assumptions!$B$34,0)</f>
        <v>3</v>
      </c>
      <c r="G33" s="21" t="n">
        <f aca="false">ROUND(G5*Assumptions!$B$34,0)</f>
        <v>4</v>
      </c>
      <c r="H33" s="21" t="n">
        <f aca="false">ROUND(H5*Assumptions!$B$34,0)</f>
        <v>4</v>
      </c>
      <c r="I33" s="21" t="n">
        <f aca="false">ROUND(I5*Assumptions!$B$34,0)</f>
        <v>5</v>
      </c>
      <c r="J33" s="21" t="n">
        <f aca="false">ROUND(J5*Assumptions!$B$34,0)</f>
        <v>6</v>
      </c>
      <c r="K33" s="21" t="n">
        <f aca="false">ROUND(K5*Assumptions!$B$34,0)</f>
        <v>6</v>
      </c>
      <c r="L33" s="21" t="n">
        <f aca="false">ROUND(L5*Assumptions!$B$34,0)</f>
        <v>7</v>
      </c>
      <c r="M33" s="21" t="n">
        <f aca="false">ROUND(M5*Assumptions!$B$34,0)</f>
        <v>8</v>
      </c>
      <c r="N33" s="14" t="n">
        <f aca="false">SUM(B33:M33)</f>
        <v>52</v>
      </c>
    </row>
    <row r="34" customFormat="false" ht="18" hidden="false" customHeight="true" outlineLevel="0" collapsed="false">
      <c r="A34" s="15" t="s">
        <v>110</v>
      </c>
      <c r="B34" s="21" t="n">
        <f aca="false">ROUND(B5*Assumptions!$B$35,0)</f>
        <v>1</v>
      </c>
      <c r="C34" s="21" t="n">
        <f aca="false">ROUND(C5*Assumptions!$B$35,0)</f>
        <v>2</v>
      </c>
      <c r="D34" s="21" t="n">
        <f aca="false">ROUND(D5*Assumptions!$B$35,0)</f>
        <v>2</v>
      </c>
      <c r="E34" s="21" t="n">
        <f aca="false">ROUND(E5*Assumptions!$B$35,0)</f>
        <v>2</v>
      </c>
      <c r="F34" s="21" t="n">
        <f aca="false">ROUND(F5*Assumptions!$B$35,0)</f>
        <v>2</v>
      </c>
      <c r="G34" s="21" t="n">
        <f aca="false">ROUND(G5*Assumptions!$B$35,0)</f>
        <v>3</v>
      </c>
      <c r="H34" s="21" t="n">
        <f aca="false">ROUND(H5*Assumptions!$B$35,0)</f>
        <v>3</v>
      </c>
      <c r="I34" s="21" t="n">
        <f aca="false">ROUND(I5*Assumptions!$B$35,0)</f>
        <v>4</v>
      </c>
      <c r="J34" s="21" t="n">
        <f aca="false">ROUND(J5*Assumptions!$B$35,0)</f>
        <v>4</v>
      </c>
      <c r="K34" s="21" t="n">
        <f aca="false">ROUND(K5*Assumptions!$B$35,0)</f>
        <v>5</v>
      </c>
      <c r="L34" s="21" t="n">
        <f aca="false">ROUND(L5*Assumptions!$B$35,0)</f>
        <v>5</v>
      </c>
      <c r="M34" s="21" t="n">
        <f aca="false">ROUND(M5*Assumptions!$B$35,0)</f>
        <v>6</v>
      </c>
      <c r="N34" s="14" t="n">
        <f aca="false">SUM(B34:M34)</f>
        <v>39</v>
      </c>
    </row>
    <row r="35" customFormat="false" ht="18" hidden="false" customHeight="true" outlineLevel="0" collapsed="false">
      <c r="A35" s="15" t="s">
        <v>111</v>
      </c>
      <c r="B35" s="16" t="n">
        <f aca="false">B32*Assumptions!$B$30+B33*Assumptions!$B$31+B34*Assumptions!$B$32</f>
        <v>275</v>
      </c>
      <c r="C35" s="16" t="n">
        <f aca="false">C32*Assumptions!$B$30+C33*Assumptions!$B$31+C34*Assumptions!$B$32</f>
        <v>334</v>
      </c>
      <c r="D35" s="16" t="n">
        <f aca="false">D32*Assumptions!$B$30+D33*Assumptions!$B$31+D34*Assumptions!$B$32</f>
        <v>363</v>
      </c>
      <c r="E35" s="16" t="n">
        <f aca="false">E32*Assumptions!$B$30+E33*Assumptions!$B$31+E34*Assumptions!$B$32</f>
        <v>442</v>
      </c>
      <c r="F35" s="16" t="n">
        <f aca="false">F32*Assumptions!$B$30+F33*Assumptions!$B$31+F34*Assumptions!$B$32</f>
        <v>471</v>
      </c>
      <c r="G35" s="16" t="n">
        <f aca="false">G32*Assumptions!$B$30+G33*Assumptions!$B$31+G34*Assumptions!$B$32</f>
        <v>609</v>
      </c>
      <c r="H35" s="16" t="n">
        <f aca="false">H32*Assumptions!$B$30+H33*Assumptions!$B$31+H34*Assumptions!$B$32</f>
        <v>638</v>
      </c>
      <c r="I35" s="16" t="n">
        <f aca="false">I32*Assumptions!$B$30+I33*Assumptions!$B$31+I34*Assumptions!$B$32</f>
        <v>805</v>
      </c>
      <c r="J35" s="16" t="n">
        <f aca="false">J32*Assumptions!$B$30+J33*Assumptions!$B$31+J34*Assumptions!$B$32</f>
        <v>884</v>
      </c>
      <c r="K35" s="16" t="n">
        <f aca="false">K32*Assumptions!$B$30+K33*Assumptions!$B$31+K34*Assumptions!$B$32</f>
        <v>972</v>
      </c>
      <c r="L35" s="16" t="n">
        <f aca="false">L32*Assumptions!$B$30+L33*Assumptions!$B$31+L34*Assumptions!$B$32</f>
        <v>1080</v>
      </c>
      <c r="M35" s="16" t="n">
        <f aca="false">M32*Assumptions!$B$30+M33*Assumptions!$B$31+M34*Assumptions!$B$32</f>
        <v>1276</v>
      </c>
      <c r="N35" s="17" t="n">
        <f aca="false">SUM(B35:M35)</f>
        <v>8149</v>
      </c>
    </row>
    <row r="36" customFormat="false" ht="18" hidden="false" customHeight="true" outlineLevel="0" collapsed="false">
      <c r="A36" s="18" t="s">
        <v>112</v>
      </c>
      <c r="B36" s="19" t="n">
        <f aca="false">B35</f>
        <v>275</v>
      </c>
      <c r="C36" s="19" t="n">
        <f aca="false">C35</f>
        <v>334</v>
      </c>
      <c r="D36" s="19" t="n">
        <f aca="false">D35</f>
        <v>363</v>
      </c>
      <c r="E36" s="19" t="n">
        <f aca="false">E35</f>
        <v>442</v>
      </c>
      <c r="F36" s="19" t="n">
        <f aca="false">F35</f>
        <v>471</v>
      </c>
      <c r="G36" s="19" t="n">
        <f aca="false">G35</f>
        <v>609</v>
      </c>
      <c r="H36" s="19" t="n">
        <f aca="false">H35</f>
        <v>638</v>
      </c>
      <c r="I36" s="19" t="n">
        <f aca="false">I35</f>
        <v>805</v>
      </c>
      <c r="J36" s="19" t="n">
        <f aca="false">J35</f>
        <v>884</v>
      </c>
      <c r="K36" s="19" t="n">
        <f aca="false">K35</f>
        <v>972</v>
      </c>
      <c r="L36" s="19" t="n">
        <f aca="false">L35</f>
        <v>1080</v>
      </c>
      <c r="M36" s="19" t="n">
        <f aca="false">M35</f>
        <v>1276</v>
      </c>
      <c r="N36" s="20" t="n">
        <f aca="false">SUM(B36:M36)</f>
        <v>8149</v>
      </c>
    </row>
    <row r="37" customFormat="false" ht="6" hidden="false" customHeight="true" outlineLevel="0" collapsed="false"/>
    <row r="38" customFormat="false" ht="6" hidden="false" customHeight="true" outlineLevel="0" collapsed="false"/>
    <row r="39" customFormat="false" ht="18" hidden="false" customHeight="true" outlineLevel="0" collapsed="false">
      <c r="A39" s="22" t="s">
        <v>113</v>
      </c>
      <c r="B39" s="23" t="n">
        <f aca="false">B15+B22+B29+B36</f>
        <v>3225.5</v>
      </c>
      <c r="C39" s="23" t="n">
        <f aca="false">C15+C22+C29+C36</f>
        <v>3897</v>
      </c>
      <c r="D39" s="23" t="n">
        <f aca="false">D15+D22+D29+D36</f>
        <v>4471.5</v>
      </c>
      <c r="E39" s="23" t="n">
        <f aca="false">E15+E22+E29+E36</f>
        <v>5176</v>
      </c>
      <c r="F39" s="23" t="n">
        <f aca="false">F15+F22+F29+F36</f>
        <v>5908</v>
      </c>
      <c r="G39" s="23" t="n">
        <f aca="false">G15+G22+G29+G36</f>
        <v>6781</v>
      </c>
      <c r="H39" s="23" t="n">
        <f aca="false">H15+H22+H29+H36</f>
        <v>7785</v>
      </c>
      <c r="I39" s="23" t="n">
        <f aca="false">I15+I22+I29+I36</f>
        <v>9227.5</v>
      </c>
      <c r="J39" s="23" t="n">
        <f aca="false">J15+J22+J29+J36</f>
        <v>10484</v>
      </c>
      <c r="K39" s="23" t="n">
        <f aca="false">K15+K22+K29+K36</f>
        <v>11927</v>
      </c>
      <c r="L39" s="23" t="n">
        <f aca="false">L15+L22+L29+L36</f>
        <v>14010.5</v>
      </c>
      <c r="M39" s="23" t="n">
        <f aca="false">M15+M22+M29+M36</f>
        <v>15929.5</v>
      </c>
      <c r="N39" s="24" t="n">
        <f aca="false">SUM(B39:M39)</f>
        <v>98822.5</v>
      </c>
    </row>
    <row r="40" customFormat="false" ht="18" hidden="false" customHeight="true" outlineLevel="0" collapsed="false">
      <c r="A40" s="15" t="s">
        <v>114</v>
      </c>
      <c r="B40" s="21" t="s">
        <v>115</v>
      </c>
      <c r="C40" s="25" t="n">
        <f aca="false">IFERROR((C39-B39)/B39,"-")</f>
        <v>0.208184777553868</v>
      </c>
      <c r="D40" s="25" t="n">
        <f aca="false">IFERROR((D39-C39)/C39,"-")</f>
        <v>0.147421093148576</v>
      </c>
      <c r="E40" s="25" t="n">
        <f aca="false">IFERROR((E39-D39)/D39,"-")</f>
        <v>0.157553393715755</v>
      </c>
      <c r="F40" s="25" t="n">
        <f aca="false">IFERROR((F39-E39)/E39,"-")</f>
        <v>0.141421947449768</v>
      </c>
      <c r="G40" s="25" t="n">
        <f aca="false">IFERROR((G39-F39)/F39,"-")</f>
        <v>0.147765741367637</v>
      </c>
      <c r="H40" s="25" t="n">
        <f aca="false">IFERROR((H39-G39)/G39,"-")</f>
        <v>0.148060758000295</v>
      </c>
      <c r="I40" s="25" t="n">
        <f aca="false">IFERROR((I39-H39)/H39,"-")</f>
        <v>0.18529222864483</v>
      </c>
      <c r="J40" s="25" t="n">
        <f aca="false">IFERROR((J39-I39)/I39,"-")</f>
        <v>0.136169059875373</v>
      </c>
      <c r="K40" s="25" t="n">
        <f aca="false">IFERROR((K39-J39)/J39,"-")</f>
        <v>0.13763830599008</v>
      </c>
      <c r="L40" s="25" t="n">
        <f aca="false">IFERROR((L39-K39)/K39,"-")</f>
        <v>0.174687683407395</v>
      </c>
      <c r="M40" s="25" t="n">
        <f aca="false">IFERROR((M39-L39)/L39,"-")</f>
        <v>0.136968702044895</v>
      </c>
      <c r="N40" s="26" t="s">
        <v>115</v>
      </c>
    </row>
  </sheetData>
  <mergeCells count="7">
    <mergeCell ref="A1:N1"/>
    <mergeCell ref="A2:N2"/>
    <mergeCell ref="A4:N4"/>
    <mergeCell ref="A11:N11"/>
    <mergeCell ref="A17:N17"/>
    <mergeCell ref="A24:N24"/>
    <mergeCell ref="A31:N3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0"/>
    <col collapsed="false" customWidth="true" hidden="false" outlineLevel="0" max="4" min="2" style="0" width="16"/>
  </cols>
  <sheetData>
    <row r="1" customFormat="false" ht="31.5" hidden="false" customHeight="true" outlineLevel="0" collapsed="false">
      <c r="A1" s="1" t="s">
        <v>116</v>
      </c>
      <c r="B1" s="1"/>
      <c r="C1" s="1"/>
      <c r="D1" s="1"/>
    </row>
    <row r="3" customFormat="false" ht="19.5" hidden="false" customHeight="true" outlineLevel="0" collapsed="false">
      <c r="A3" s="9" t="s">
        <v>117</v>
      </c>
      <c r="B3" s="10" t="s">
        <v>118</v>
      </c>
      <c r="C3" s="10" t="s">
        <v>119</v>
      </c>
      <c r="D3" s="10" t="s">
        <v>120</v>
      </c>
    </row>
    <row r="4" customFormat="false" ht="18" hidden="false" customHeight="true" outlineLevel="0" collapsed="false">
      <c r="A4" s="27" t="s">
        <v>121</v>
      </c>
      <c r="B4" s="16" t="n">
        <f aca="false">Projections!N12</f>
        <v>13572</v>
      </c>
      <c r="C4" s="28" t="n">
        <f aca="false">IFERROR(B4/B16,0)</f>
        <v>0.137337144880973</v>
      </c>
      <c r="D4" s="29" t="s">
        <v>122</v>
      </c>
    </row>
    <row r="5" customFormat="false" ht="18" hidden="false" customHeight="true" outlineLevel="0" collapsed="false">
      <c r="A5" s="30" t="s">
        <v>123</v>
      </c>
      <c r="B5" s="31" t="n">
        <f aca="false">Projections!N13</f>
        <v>16965</v>
      </c>
      <c r="C5" s="32" t="n">
        <f aca="false">IFERROR(B5/B16,0)</f>
        <v>0.171671431101217</v>
      </c>
      <c r="D5" s="33" t="s">
        <v>122</v>
      </c>
    </row>
    <row r="6" customFormat="false" ht="18" hidden="false" customHeight="true" outlineLevel="0" collapsed="false">
      <c r="A6" s="27" t="s">
        <v>124</v>
      </c>
      <c r="B6" s="16" t="n">
        <f aca="false">Projections!N14</f>
        <v>460</v>
      </c>
      <c r="C6" s="28" t="n">
        <f aca="false">IFERROR(B6/B16,0)</f>
        <v>0.00465481039237016</v>
      </c>
      <c r="D6" s="29" t="s">
        <v>125</v>
      </c>
    </row>
    <row r="7" customFormat="false" ht="18" hidden="false" customHeight="true" outlineLevel="0" collapsed="false">
      <c r="A7" s="30" t="s">
        <v>126</v>
      </c>
      <c r="B7" s="31" t="n">
        <f aca="false">Projections!N18</f>
        <v>8550</v>
      </c>
      <c r="C7" s="32" t="n">
        <f aca="false">IFERROR(B7/B16,0)</f>
        <v>0.0865187583799236</v>
      </c>
      <c r="D7" s="33" t="s">
        <v>127</v>
      </c>
    </row>
    <row r="8" customFormat="false" ht="18" hidden="false" customHeight="true" outlineLevel="0" collapsed="false">
      <c r="A8" s="27" t="s">
        <v>128</v>
      </c>
      <c r="B8" s="16" t="n">
        <f aca="false">Projections!N19</f>
        <v>11900</v>
      </c>
      <c r="C8" s="28" t="n">
        <f aca="false">IFERROR(B8/B16,0)</f>
        <v>0.120417921020011</v>
      </c>
      <c r="D8" s="29" t="s">
        <v>129</v>
      </c>
    </row>
    <row r="9" customFormat="false" ht="18" hidden="false" customHeight="true" outlineLevel="0" collapsed="false">
      <c r="A9" s="30" t="s">
        <v>130</v>
      </c>
      <c r="B9" s="31" t="n">
        <f aca="false">Projections!N20</f>
        <v>2532</v>
      </c>
      <c r="C9" s="32" t="n">
        <f aca="false">IFERROR(B9/B16,0)</f>
        <v>0.0256216954640897</v>
      </c>
      <c r="D9" s="33" t="s">
        <v>131</v>
      </c>
    </row>
    <row r="10" customFormat="false" ht="18" hidden="false" customHeight="true" outlineLevel="0" collapsed="false">
      <c r="A10" s="27" t="s">
        <v>132</v>
      </c>
      <c r="B10" s="16" t="n">
        <f aca="false">Projections!N21</f>
        <v>3545.5</v>
      </c>
      <c r="C10" s="28" t="n">
        <f aca="false">IFERROR(B10/B16,0)</f>
        <v>0.0358774570568443</v>
      </c>
      <c r="D10" s="29" t="s">
        <v>133</v>
      </c>
    </row>
    <row r="11" customFormat="false" ht="18" hidden="false" customHeight="true" outlineLevel="0" collapsed="false">
      <c r="A11" s="30" t="s">
        <v>134</v>
      </c>
      <c r="B11" s="31" t="n">
        <f aca="false">Projections!N25</f>
        <v>17300</v>
      </c>
      <c r="C11" s="32" t="n">
        <f aca="false">IFERROR(B11/B16,0)</f>
        <v>0.175061347365226</v>
      </c>
      <c r="D11" s="33" t="s">
        <v>135</v>
      </c>
    </row>
    <row r="12" customFormat="false" ht="18" hidden="false" customHeight="true" outlineLevel="0" collapsed="false">
      <c r="A12" s="27" t="s">
        <v>136</v>
      </c>
      <c r="B12" s="16" t="n">
        <f aca="false">Projections!N26</f>
        <v>7650</v>
      </c>
      <c r="C12" s="28" t="n">
        <f aca="false">IFERROR(B12/B16,0)</f>
        <v>0.0774115206557211</v>
      </c>
      <c r="D12" s="29" t="s">
        <v>137</v>
      </c>
    </row>
    <row r="13" customFormat="false" ht="18" hidden="false" customHeight="true" outlineLevel="0" collapsed="false">
      <c r="A13" s="30" t="s">
        <v>138</v>
      </c>
      <c r="B13" s="31" t="n">
        <f aca="false">Projections!N27</f>
        <v>4350</v>
      </c>
      <c r="C13" s="32" t="n">
        <f aca="false">IFERROR(B13/B16,0)</f>
        <v>0.0440183156669787</v>
      </c>
      <c r="D13" s="33" t="s">
        <v>139</v>
      </c>
    </row>
    <row r="14" customFormat="false" ht="18" hidden="false" customHeight="true" outlineLevel="0" collapsed="false">
      <c r="A14" s="27" t="s">
        <v>140</v>
      </c>
      <c r="B14" s="16" t="n">
        <f aca="false">Projections!N28</f>
        <v>3849</v>
      </c>
      <c r="C14" s="28" t="n">
        <f aca="false">IFERROR(B14/B16,0)</f>
        <v>0.038948620000506</v>
      </c>
      <c r="D14" s="29" t="s">
        <v>141</v>
      </c>
    </row>
    <row r="15" customFormat="false" ht="18" hidden="false" customHeight="true" outlineLevel="0" collapsed="false">
      <c r="A15" s="30" t="s">
        <v>142</v>
      </c>
      <c r="B15" s="31" t="n">
        <f aca="false">Projections!N35</f>
        <v>8149</v>
      </c>
      <c r="C15" s="32" t="n">
        <f aca="false">IFERROR(B15/B16,0)</f>
        <v>0.0824609780161401</v>
      </c>
      <c r="D15" s="33" t="s">
        <v>143</v>
      </c>
    </row>
    <row r="16" customFormat="false" ht="24" hidden="false" customHeight="true" outlineLevel="0" collapsed="false">
      <c r="A16" s="34" t="s">
        <v>144</v>
      </c>
      <c r="B16" s="35" t="n">
        <f aca="false">SUM(B4:B15)</f>
        <v>98822.5</v>
      </c>
      <c r="C16" s="36" t="s">
        <v>145</v>
      </c>
      <c r="D16" s="37"/>
    </row>
    <row r="18" customFormat="false" ht="31.5" hidden="false" customHeight="true" outlineLevel="0" collapsed="false">
      <c r="A18" s="38" t="s">
        <v>146</v>
      </c>
      <c r="B18" s="38"/>
      <c r="C18" s="38"/>
      <c r="D18" s="38"/>
    </row>
  </sheetData>
  <mergeCells count="2">
    <mergeCell ref="A1:D1"/>
    <mergeCell ref="A18:D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2026-03-15T14:12:27Z</dcterms:created>
  <dc:creator>openpyxl</dc:creator>
  <dc:description/>
  <dc:language>en-US</dc:language>
  <cp:lastModifiedBy/>
  <dcterms:modified xsi:type="dcterms:W3CDTF">2026-03-15T14:12:27Z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